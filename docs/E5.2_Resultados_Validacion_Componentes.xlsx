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home\avargas\TEST_DSQA_AI_MODEL_HUB\LOCAL_VM_SINGLE\Validation-Environment\docs\"/>
    </mc:Choice>
  </mc:AlternateContent>
  <xr:revisionPtr revIDLastSave="0" documentId="13_ncr:1_{11C41CB2-31C1-4A3F-AC0C-99D93BE51E8B}" xr6:coauthVersionLast="47" xr6:coauthVersionMax="47" xr10:uidLastSave="{00000000-0000-0000-0000-000000000000}"/>
  <bookViews>
    <workbookView xWindow="-108" yWindow="-108" windowWidth="23256" windowHeight="12456" xr2:uid="{00000000-000D-0000-FFFF-FFFF00000000}"/>
  </bookViews>
  <sheets>
    <sheet name="00_Resumen" sheetId="1" r:id="rId1"/>
    <sheet name="01_Casos_Uso_A52" sheetId="2" r:id="rId2"/>
    <sheet name="02_Flujos_INESData" sheetId="3" r:id="rId3"/>
    <sheet name="03_INESData_UI" sheetId="4" r:id="rId4"/>
    <sheet name="04_OntologyHub_PT5" sheetId="5" r:id="rId5"/>
    <sheet name="05_OntologyHub_UI" sheetId="6" r:id="rId6"/>
    <sheet name="06_AI_Model_Hub" sheetId="7" r:id="rId7"/>
    <sheet name="07_Virtualización" sheetId="8" r:id="rId8"/>
    <sheet name="08_Evidencias" sheetId="9" r:id="rId9"/>
    <sheet name="09_Trazabilidad_OH" sheetId="10" r:id="rId10"/>
    <sheet name="10_Estado_Cobertura" sheetId="11" r:id="rId11"/>
    <sheet name="11_Leyenda_Colores" sheetId="12" r:id="rId12"/>
  </sheets>
  <definedNames>
    <definedName name="_xlnm._FilterDatabase" localSheetId="0" hidden="1">'00_Resumen'!$A$3:$F$10</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'07_Virtualización'!$A$1:$M$27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 i="1" l="1"/>
</calcChain>
</file>

<file path=xl/sharedStrings.xml><?xml version="1.0" encoding="utf-8"?>
<sst xmlns="http://schemas.openxmlformats.org/spreadsheetml/2006/main" count="2528" uniqueCount="1537">
  <si>
    <t>Ontology Hub - flujos funcionales UI</t>
  </si>
  <si>
    <t>Ontology Hub - 27 flujos UI funcionales automatizados/documentados en framework</t>
  </si>
  <si>
    <t>ID</t>
  </si>
  <si>
    <t>Caso / flujo</t>
  </si>
  <si>
    <t>Componente</t>
  </si>
  <si>
    <t>Tipo de validación</t>
  </si>
  <si>
    <t>Actor principal</t>
  </si>
  <si>
    <t>Precondiciones</t>
  </si>
  <si>
    <t>Procedimiento reproducible</t>
  </si>
  <si>
    <t>Resultado esperado</t>
  </si>
  <si>
    <t>Automatización / spec / runner</t>
  </si>
  <si>
    <t>Estado actual</t>
  </si>
  <si>
    <t>Evidencia disponible</t>
  </si>
  <si>
    <t>Fuente / entregable</t>
  </si>
  <si>
    <t>Observaciones</t>
  </si>
  <si>
    <t>OH-APP-00</t>
  </si>
  <si>
    <t>Home page is reachable</t>
  </si>
  <si>
    <t>Ontology Hub</t>
  </si>
  <si>
    <t>Funcional UI ampliada</t>
  </si>
  <si>
    <t>QA / Validación</t>
  </si>
  <si>
    <t>- Ontology Hub desplegado y accesible
- Datos/fixtures preparados por la suite funcional
- Credenciales admin disponibles cuando el flujo edita datos</t>
  </si>
  <si>
    <t>Paso 1: Ingresar al URL público de Ontology Hub.
Paso 2: Esperar a que cargue la pagina inicial.
Paso 3: Verificar que la pagina responde sin error 4xx/5xx.</t>
  </si>
  <si>
    <t>La home page es accesible desde el entorno desplegado.</t>
  </si>
  <si>
    <t>validation/components/ontology_hub/functional/specs/oh_app_00_home.spec.js</t>
  </si>
  <si>
    <t>Baseline 2026-05-07 19:27:24: passed</t>
  </si>
  <si>
    <t>Evidencia generada por el framework de validación
Artefactos Playwright generados localmente cuando aplica
Resultados estructurados JSON generados por la suite</t>
  </si>
  <si>
    <t>Entregable E5.1 de validación
Entregable técnico de Ontology Hub</t>
  </si>
  <si>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</si>
  <si>
    <t>OH-APP-01</t>
  </si>
  <si>
    <t>Admin can sign in and sign out</t>
  </si>
  <si>
    <t>Admin</t>
  </si>
  <si>
    <t>Paso 1: Ingresar al URL /edition/login.
Paso 2: Escribir el usuario administrador configurado.
Paso 3: Escribir la contrasena del administrador.
Paso 4: Click en el boton Log in.
Paso 5: Verificar que aparecen Edition/Profile/Logout.
Paso 6: Click en Logout.</t>
  </si>
  <si>
    <t>El administrador inicia y cierra sesión correctamente.</t>
  </si>
  <si>
    <t>validation/components/ontology_hub/functional/specs/oh_app_01_login.spec.js</t>
  </si>
  <si>
    <t>OH-APP-03</t>
  </si>
  <si>
    <t>Register ontology by URI</t>
  </si>
  <si>
    <t>Admin / Publicador</t>
  </si>
  <si>
    <t>Paso 1: Iniciar sesión en Ontology Hub.
Paso 2: Click en Edition.
Paso 3: Click en + Vocab.
Paso 4: Pegar la URI de la ontología de prueba.
Paso 5: Confirmar la importacion.
Paso 6: Completar metadatos obligatorios.
Paso 7: Click en Save.
Paso 8: Verificar que la ontología aparece en el catálogo público.</t>
  </si>
  <si>
    <t>La ontología queda registrada y visible.</t>
  </si>
  <si>
    <t>validation/components/ontology_hub/functional/specs/oh_app_03_vocab_management.spec.js</t>
  </si>
  <si>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Última baseline 2026-05-07 19:27:24: passed dentro de la suite completa 25/27.</t>
  </si>
  <si>
    <t>OH-APP-04</t>
  </si>
  <si>
    <t>Register ontology from repository</t>
  </si>
  <si>
    <t>Paso 1: Iniciar sesión.
Paso 2: Abrir el formulario de nuevo vocabulario.
Paso 3: Seleccionar la opcion de repositorio.
Paso 4: Completar URL/repositorio y metadatos.
Paso 5: Guardar.
Paso 6: Verificar visibilidad en catálogo.</t>
  </si>
  <si>
    <t>La ontología se registra desde repositorio.</t>
  </si>
  <si>
    <t>Caso funcional adicional documentado e implementado en el framework sobre el alcance PT5 original. Mapeo PT5 en nueva evidencia: PT5-OH-01, PT5-OH-07.
Fallo raíz de esta ejecución base: Ontology Hub rechazó el registro desde repositorio con "This vocabulary already exists"; requiere limpieza/idempotencia o validación del componente.
Corregido en framework: el flujo reutiliza vocabulario de repositorio existente si Ontology Hub responde already exists; ejecución base idempotente passed.
Última ejecución base 2026-05-07 19:27:24: passed dentro de la suite completa 25/27.</t>
  </si>
  <si>
    <t>OH-APP-05</t>
  </si>
  <si>
    <t>Vocabulary detail is visible and .n3 can be downloaded</t>
  </si>
  <si>
    <t>Data Consumer / QA / Validación</t>
  </si>
  <si>
    <t>Paso 1: Abrir el catálogo público.
Paso 2: Abrir la ficha de un vocabulario existente.
Paso 3: Verificar metadatos y secciones descriptivas.
Paso 4: Click en el enlace de descarga .n3.
Paso 5: Confirmar que el fichero se descarga o la ruta responde correctamente.</t>
  </si>
  <si>
    <t>La ficha publica es visible y el .n3 se puede descargar.</t>
  </si>
  <si>
    <t>validation/components/ontology_hub/functional/specs/oh_app_05_vocab_catalog_detail.spec.js</t>
  </si>
  <si>
    <t>Evidencia generada por el framework de validación
Artefactos Playwright generados localmente cuando aplica
Resultados estructurados JSON generados por la suite
Dashboard local de experimento generado por el framework</t>
  </si>
  <si>
    <t>Issue conocido observado en la ejecución real: requiere validación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Corrección framework: no asumir pestaña clicable Version History si la sección Vocabulary Version History ya está visible; descarga .n3 validada en corrida focalizada.
Última baseline 2026-05-07 19:27:24: passed dentro de la suite completa 25/27.</t>
  </si>
  <si>
    <t>OH-APP-06</t>
  </si>
  <si>
    <t>Vocabulary catalog filters by class</t>
  </si>
  <si>
    <t>Data Consumer</t>
  </si>
  <si>
    <t>Paso 1: Abrir /dataset.
Paso 2: Localizar el panel de filtros.
Paso 3: Seleccionar filtro de clase.
Paso 4: Verificar que el listado se actualiza sin error.</t>
  </si>
  <si>
    <t>El catálogo filtra por clase.</t>
  </si>
  <si>
    <t>validation/components/ontology_hub/functional/specs/oh_app_06_vocab_filters.spec.js</t>
  </si>
  <si>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</si>
  <si>
    <t>OH-APP-07</t>
  </si>
  <si>
    <t>Vocabulary catalog filters by property</t>
  </si>
  <si>
    <t>Paso 1: Abrir /dataset.
Paso 2: Seleccionar filtro de property.
Paso 3: Verificar que los resultados son coherentes.</t>
  </si>
  <si>
    <t>El catálogo filtra por property.</t>
  </si>
  <si>
    <t>OH-APP-08</t>
  </si>
  <si>
    <t>Vocabulary catalog filters by tag Services</t>
  </si>
  <si>
    <t>Paso 1: Abrir /dataset.
Paso 2: Seleccionar la etiqueta Services.
Paso 3: Verificar resultados y ausencia de errores.</t>
  </si>
  <si>
    <t>El catálogo filtra por etiqueta.</t>
  </si>
  <si>
    <t>OH-APP-09</t>
  </si>
  <si>
    <t>Vocabulary catalog filters by language English</t>
  </si>
  <si>
    <t>Paso 1: Abrir /dataset.
Paso 2: Seleccionar filtro de idioma English.
Paso 3: Verificar que la URL/listado reflejan el filtro.</t>
  </si>
  <si>
    <t>El catálogo filtra por idioma cuando la faceta esta disponible.</t>
  </si>
  <si>
    <t>OH-APP-10</t>
  </si>
  <si>
    <t>Edit ontology metadata and tags</t>
  </si>
  <si>
    <t>Paso 1: Iniciar sesión.
Paso 2: Abrir la edicion de una ontología existente.
Paso 3: Modificar titulo, descripción o tags.
Paso 4: Guardar cambios.
Paso 5: Abrir ficha publica y verificar los cambios.</t>
  </si>
  <si>
    <t>Los metadatos editados se reflejan en la ficha.</t>
  </si>
  <si>
    <t>validation/components/ontology_hub/functional/specs/oh_app_10_vocab_management.spec.js</t>
  </si>
  <si>
    <t>Baseline 2026-05-07 19:27:24: failed por issue de componente</t>
  </si>
  <si>
    <t>Issue conocido observado en la ejecución real: requiere validación por desarrolladores del componente antes de cierre total. Mapeo PT5 en nueva evidencia: PT5-OH-02.
Fallo directo antes del crash de versiones; mantener como issue de componente.
Fallo en cascada en esta baseline porque OH-APP-04 no genero el estado compartido oh-app-04-repository-vocabulary; no hubo restart nuevo del pod.
Fallo vigente: los metadatos/tags editados no quedan visibles a tiempo en la ficha tras guardar.
Se aumento la espera/refresco a 60s; la ficha sigue sin mostrar Vocabularies ni ADMIN TEST, por lo que no parece un timeout corto del framework.
Última baseline 2026-05-07 19:27:24: failed. Tras Save, la ficha sigue mostrando Services/Admin y no Vocabularies/ADMIN TEST; se clasifica como issue de componente.</t>
  </si>
  <si>
    <t>OH-APP-11</t>
  </si>
  <si>
    <t>Add a new ontology version</t>
  </si>
  <si>
    <t>Paso 1: Iniciar sesión.
Paso 2: Abrir una ontología editable.
Paso 3: Abrir seccion de versiones.
Paso 4: Agregar una nueva version.
Paso 5: Guardar.
Paso 6: Verificar que aparece en historial.</t>
  </si>
  <si>
    <t>La nueva version queda registrada.</t>
  </si>
  <si>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</si>
  <si>
    <t>OH-APP-12</t>
  </si>
  <si>
    <t>Edit an ontology version</t>
  </si>
  <si>
    <t>Paso 1: Iniciar sesión.
Paso 2: Abrir historial de versiones.
Paso 3: Seleccionar una version.
Paso 4: Editar metadatos o referencia.
Paso 5: Guardar y verificar cambios.</t>
  </si>
  <si>
    <t>La version editada conserva los cambios.</t>
  </si>
  <si>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Última baseline 2026-05-07 19:27:24: passed dentro de la suite completa 25/27.</t>
  </si>
  <si>
    <t>OH-APP-13</t>
  </si>
  <si>
    <t>Delete an ontology version</t>
  </si>
  <si>
    <t>Paso 1: Iniciar sesión.
Paso 2: Abrir historial de versiones.
Paso 3: Seleccionar una version de prueba.
Paso 4: Click en eliminar y confirmar.
Paso 5: Verificar que la version ya no aparece.</t>
  </si>
  <si>
    <t>La version se elimina de forma controlada.</t>
  </si>
  <si>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Última baseline 2026-05-07 19:27:24: passed dentro de la suite completa 25/27.</t>
  </si>
  <si>
    <t>OH-APP-14</t>
  </si>
  <si>
    <t>Delete an ontology</t>
  </si>
  <si>
    <t>Paso 1: Iniciar sesión.
Paso 2: Abrir la ontología de prueba.
Paso 3: Click en acción de eliminacion.
Paso 4: Confirmar la eliminacion.
Paso 5: Buscarla en catálogo y verificar ausencia.</t>
  </si>
  <si>
    <t>La ontología eliminada deja de estar disponible.</t>
  </si>
  <si>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</si>
  <si>
    <t>OH-APP-15</t>
  </si>
  <si>
    <t>Create agent and user, + USER hidden</t>
  </si>
  <si>
    <t>Paso 1: Iniciar sesión como administrador.
Paso 2: Abrir gestion de agentes/usuarios.
Paso 3: Crear un agente de prueba.
Paso 4: Crear un usuario asociado.
Paso 5: Verificar que + USER queda oculto cuando corresponde.</t>
  </si>
  <si>
    <t>La creacion respeta las reglas de UI para agentes y usuarios.</t>
  </si>
  <si>
    <t>validation/components/ontology_hub/functional/specs/oh_app_15_agents_users.spec.js</t>
  </si>
  <si>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</si>
  <si>
    <t>OH-APP-16</t>
  </si>
  <si>
    <t>Edit agent from public detail page</t>
  </si>
  <si>
    <t>Paso 1: Abrir detalle público de agente.
Paso 2: Entrar en modo edicion.
Paso 3: Modificar datos del agente.
Paso 4: Guardar.
Paso 5: Verificar cambios en la vista publica.</t>
  </si>
  <si>
    <t>El agente se puede editar desde el flujo previsto.</t>
  </si>
  <si>
    <t>OH-APP-17</t>
  </si>
  <si>
    <t>Promote user to admin and verify + USER appears</t>
  </si>
  <si>
    <t>Paso 1: Iniciar sesión.
Paso 2: Abrir gestion de usuarios.
Paso 3: Seleccionar usuario de prueba.
Paso 4: Cambiar rol a admin.
Paso 5: Verificar que aparece la acción + USER.</t>
  </si>
  <si>
    <t>El cambio de rol se refleja en las acciones visibles.</t>
  </si>
  <si>
    <t>Issue conocido observado en la ejecución real: requiere validación por desarrolladores del componente antes de cierre total. Mapeo PT5 en nueva evidencia: PT5-OH-05.
Fallo en cascada tras crash de Ontology Hub/port-forward perdido; no tratar como fallo independiente del framework.
Fallo funcional independiente: la pagina de administracion de usuarios devolvio 500 y bloquea la promocion a admin.
Fallo vigente: pagina de administracion de usuarios devuelve 500 y bloquea promocion a admin.
Última baseline 2026-05-07 19:27:24: passed dentro de la suite completa 25/27.</t>
  </si>
  <si>
    <t>OH-APP-18</t>
  </si>
  <si>
    <t>Delete agent from public detail page</t>
  </si>
  <si>
    <t>Paso 1: Abrir agente de prueba.
Paso 2: Click en eliminar.
Paso 3: Confirmar eliminacion.
Paso 4: Verificar que no aparece en listado/detalle.</t>
  </si>
  <si>
    <t>El agente se elimina correctamente.</t>
  </si>
  <si>
    <t>OH-APP-19</t>
  </si>
  <si>
    <t>Create tag</t>
  </si>
  <si>
    <t>Admin / Curador</t>
  </si>
  <si>
    <t>Paso 1: Iniciar sesión.
Paso 2: Abrir gestion de tags.
Paso 3: Click en crear tag.
Paso 4: Introducir nombre unico.
Paso 5: Guardar y verificar listado.</t>
  </si>
  <si>
    <t>La etiqueta se crea y queda visible.</t>
  </si>
  <si>
    <t>validation/components/ontology_hub/functional/specs/oh_app_19_tags.spec.js</t>
  </si>
  <si>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</si>
  <si>
    <t>OH-APP-20</t>
  </si>
  <si>
    <t>Edit tag</t>
  </si>
  <si>
    <t>Paso 1: Abrir gestion de tags.
Paso 2: Seleccionar tag existente.
Paso 3: Modificar nombre o descripción.
Paso 4: Guardar.
Paso 5: Verificar cambio.</t>
  </si>
  <si>
    <t>La etiqueta se edita correctamente.</t>
  </si>
  <si>
    <t>OH-APP-21</t>
  </si>
  <si>
    <t>Delete tag</t>
  </si>
  <si>
    <t>Paso 1: Abrir gestion de tags.
Paso 2: Seleccionar tag de prueba.
Paso 3: Click en eliminar.
Paso 4: Confirmar.
Paso 5: Verificar que no aparece.</t>
  </si>
  <si>
    <t>La etiqueta se elimina correctamente.</t>
  </si>
  <si>
    <t>OH-APP-22</t>
  </si>
  <si>
    <t>Patterns page generates a zip</t>
  </si>
  <si>
    <t>Paso 1: Abrir pagina de patrones/servicios.
Paso 2: Seleccionar vocabulario o entrada de prueba.
Paso 3: Lanzar generacion de patrones.
Paso 4: Esperar resultado.
Paso 5: Descargar ZIP generado.</t>
  </si>
  <si>
    <t>La pagina de patrones genera un ZIP descargable.</t>
  </si>
  <si>
    <t>validation/components/ontology_hub/functional/specs/oh_app_22_services.spec.js</t>
  </si>
  <si>
    <t>Issue conocido observado en la ejecución real: requiere validación por desarrolladores del componente antes de cierre total. Mapeo PT5 en nueva evidencia: PT5-OH-06, PT5-OH-14.
Fallo en cascada tras crash de Ontology Hub/port-forward perdido; no tratar como fallo independiente del framework.
Fallo funcional independiente: la pagina Patterns devolvio 500 y no se pudo generar el zip.
Fallo vigente: pagina Patterns devuelve 500 y no genera ZIP.
Última baseline 2026-05-07 19:27:24: failed. /dataset/patterns devuelve 500 antes de interactuar con Select All o generar el ZIP; se clasifica como issue de componente.</t>
  </si>
  <si>
    <t>OH-APP-23</t>
  </si>
  <si>
    <t>FOOPS metrics are shown for a vocabulary</t>
  </si>
  <si>
    <t>Paso 1: Abrir ficha de vocabulario.
Paso 2: Abrir seccion o servicio FOOPS.
Paso 3: Ejecutar/consultar métricas FAIR.
Paso 4: Verificar categorias Findable/Accessible/Interoperable/Reusable.</t>
  </si>
  <si>
    <t>Las métricas FOOPS se muestran para el vocabulario.</t>
  </si>
  <si>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</si>
  <si>
    <t>OH-APP-24</t>
  </si>
  <si>
    <t>Themis accepts a test file and downloads results</t>
  </si>
  <si>
    <t>Paso 1: Abrir servicio Themis.
Paso 2: Subir fichero test_cases.txt.
Paso 3: Ejecutar validación.
Paso 4: Esperar resultados.
Paso 5: Descargar resultados.</t>
  </si>
  <si>
    <t>Themis procesa el fichero y entrega resultados descargables.</t>
  </si>
  <si>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Última baseline 2026-05-07 19:27:24: passed dentro de la suite completa 25/27.</t>
  </si>
  <si>
    <t>OH-APP-25</t>
  </si>
  <si>
    <t>Terms search returns results for created ontology</t>
  </si>
  <si>
    <t>Paso 1: Registrar o reutilizar la ontología creada por OH-APP-03.
Paso 2: Abrir búsqueda de términos.
Paso 3: Buscar un término derivado de la ontología.
Paso 4: Abrir resultado o verificar conteo.</t>
  </si>
  <si>
    <t>La búsqueda de términos devuelve resultados coherentes.</t>
  </si>
  <si>
    <t>validation/components/ontology_hub/functional/specs/oh_app_25_terms_search.spec.js</t>
  </si>
  <si>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</si>
  <si>
    <t>OH-APP-26</t>
  </si>
  <si>
    <t>Terms filter by class</t>
  </si>
  <si>
    <t>Paso 1: Abrir búsqueda/listado de términos.
Paso 2: Aplicar filtro Class.
Paso 3: Verificar resultados y ausencia de error.</t>
  </si>
  <si>
    <t>Los términos se filtran por clase.</t>
  </si>
  <si>
    <t>validation/components/ontology_hub/functional/specs/oh_app_26_terms_filters.spec.js</t>
  </si>
  <si>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</si>
  <si>
    <t>OH-APP-27</t>
  </si>
  <si>
    <t>Terms filter by property</t>
  </si>
  <si>
    <t>Paso 1: Abrir búsqueda/listado de términos.
Paso 2: Aplicar filtro Property.
Paso 3: Verificar resultados y ausencia de error.</t>
  </si>
  <si>
    <t>Los términos se filtran por propiedad.</t>
  </si>
  <si>
    <t>E5.2 - Resultados de validación de componentes e integración</t>
  </si>
  <si>
    <t>Campo</t>
  </si>
  <si>
    <t>Descripción</t>
  </si>
  <si>
    <t>Estado</t>
  </si>
  <si>
    <t>Evidencia / referencia</t>
  </si>
  <si>
    <t>Objetivo</t>
  </si>
  <si>
    <t>Consolidar los casos de prueba funcionales y de integración automatizados para A5.2/E5.2.</t>
  </si>
  <si>
    <t>En cierre</t>
  </si>
  <si>
    <t>Framework de validación, catálogos YAML y reportes de experimentos</t>
  </si>
  <si>
    <t>Todos</t>
  </si>
  <si>
    <t>Documento reconciliado con la organización actual de nivel 6.</t>
  </si>
  <si>
    <t>Alcance</t>
  </si>
  <si>
    <t>Incluye validación funcional por componente, flujos de integración mediante INESData e interoperabilidad Newman/Kafka.</t>
  </si>
  <si>
    <t>Suites Playwright/Newman/Kafka y reportes agregados</t>
  </si>
  <si>
    <t>INESData, Ontology Hub, AI Model Hub, Semantic Virtualization</t>
  </si>
  <si>
    <t>Kafka/streaming transfer queda como única suite con activación explícita por coste temporal.</t>
  </si>
  <si>
    <t>Cobertura funcional UI y trazabilidad con casos PT5.</t>
  </si>
  <si>
    <t>Estable con incidencias conocidas</t>
  </si>
  <si>
    <t>Hojas 04_OntologyHub_PT5, 05_OntologyHub_UI y 09_Trazabilidad_OH</t>
  </si>
  <si>
    <t>Persisten incidencias puntuales del componente documentadas para seguimiento técnico.</t>
  </si>
  <si>
    <t>AI Model Hub</t>
  </si>
  <si>
    <t>Cobertura de descubrimiento, ejecución, benchmarking y observabilidad de operaciones de modelos.</t>
  </si>
  <si>
    <t>Automatizado alto / pendiente evidencia final de cierre</t>
  </si>
  <si>
    <t>Hoja 06_AI_Model_Hub</t>
  </si>
  <si>
    <t>Último Level 6 disponible: AI Model Hub 27/27 passed. Persisten como dependencia de cierre los modelos reales GTFS/FLARES y la evidencia final sin Kafka.</t>
  </si>
  <si>
    <t>Semantic Virtualization</t>
  </si>
  <si>
    <t>Cobertura de despliegue, editor de mappings, consulta y publicación de salidas semánticas como assets.</t>
  </si>
  <si>
    <t>Implementado técnicamente / margen conservador aplicado</t>
  </si>
  <si>
    <t>Hoja 07_Virtualizacion</t>
  </si>
  <si>
    <t>Cobertura técnica actual 20/22 (90.9%). Para cierre operativo se registra temporalmente 10/22 (45.5%) hasta que QA valide manualmente esos tests.</t>
  </si>
  <si>
    <t>Integración INESData</t>
  </si>
  <si>
    <t>Agrupa flujos core y flujos asociados a componentes.</t>
  </si>
  <si>
    <t>Preparado para nivel 6 final</t>
  </si>
  <si>
    <t>Hojas 02_Flujos_INESData y 03_INESData_UI</t>
  </si>
  <si>
    <t>INESData + componentes</t>
  </si>
  <si>
    <t>Nivel 6 UI dataspace ejecuta specs 03 a 10 por defecto.</t>
  </si>
  <si>
    <t>Trazabilidad</t>
  </si>
  <si>
    <t>Alineación entre catálogos YAML, casos A5.2 y resultados E5.2.</t>
  </si>
  <si>
    <t>Reconciliado 2026-05-21</t>
  </si>
  <si>
    <t>Catálogos validation/ y workbook E5.2</t>
  </si>
  <si>
    <t>Se actualiza el avance con catálogos validation/ y se aplica margen conservador al Virtualizador por validación pendiente.</t>
  </si>
  <si>
    <t>Resumen ejecutivo de cierre A5.2</t>
  </si>
  <si>
    <t>Indicador</t>
  </si>
  <si>
    <t>Resultado</t>
  </si>
  <si>
    <t>Lectura</t>
  </si>
  <si>
    <t>Sin bloqueo</t>
  </si>
  <si>
    <t>Pendientes cierre</t>
  </si>
  <si>
    <t>Progreso de cierre</t>
  </si>
  <si>
    <t>80% estimado operativo conservador</t>
  </si>
  <si>
    <t>La cobertura técnica trazable ronda 90%, pero el avance operativo baja a 79.8% al contabilizar solo la mitad del progreso real del Virtualizador hasta validación QA.</t>
  </si>
  <si>
    <t>INESData</t>
  </si>
  <si>
    <t>Funcionales</t>
  </si>
  <si>
    <t>57/70 cobertura operativa conservadora</t>
  </si>
  <si>
    <t>Se conserva el avance técnico, pero la vista ejecutiva descuenta temporalmente la mitad de la cobertura funcional del Virtualizador.</t>
  </si>
  <si>
    <t>Integración</t>
  </si>
  <si>
    <t>18/24 cobertura operativa conservadora</t>
  </si>
  <si>
    <t>Kafka se valida aparte y la integración del Virtualizador se registra con margen conservador hasta revisión QA.</t>
  </si>
  <si>
    <t>Pendientes de cierre</t>
  </si>
  <si>
    <t>Validación QA del Virtualizador, Level 6 final sin Kafka y ejecución Kafka explícita de cierre</t>
  </si>
  <si>
    <t>Pendientes necesarios para cierre técnico completo antes del 22/05/2026; el margen del Virtualizador se puede retirar tras validar sus suites.</t>
  </si>
  <si>
    <t>Cierre por componente</t>
  </si>
  <si>
    <t>Progreso cierre</t>
  </si>
  <si>
    <t>Referencia</t>
  </si>
  <si>
    <t>Detalle</t>
  </si>
  <si>
    <t>6/6</t>
  </si>
  <si>
    <t>4/4</t>
  </si>
  <si>
    <t>10/10 (100.0%)</t>
  </si>
  <si>
    <t>Core UI, ciclo provider-consumer y flujos dataspace desde nivel 6.</t>
  </si>
  <si>
    <t>Sin bloqueo: 10 | Total: 10</t>
  </si>
  <si>
    <t>25/27</t>
  </si>
  <si>
    <t>2/3</t>
  </si>
  <si>
    <t>27/30 (90.0%)</t>
  </si>
  <si>
    <t>Integración PT5 y baseline funcional; incidencias conocidas siguen documentadas.</t>
  </si>
  <si>
    <t>Sin bloqueo: 27 | Total: 30</t>
  </si>
  <si>
    <t>18/20</t>
  </si>
  <si>
    <t>10/12</t>
  </si>
  <si>
    <t>28/32 (87.5%)</t>
  </si>
  <si>
    <t>Observer MH-OBS-01/MH-OBS-02 queda automatizado y mapeado; MH-OBS-03..06 siguen planificados.</t>
  </si>
  <si>
    <t>Sin bloqueo: 28 | Total: 32</t>
  </si>
  <si>
    <t>8/17 provisional</t>
  </si>
  <si>
    <t>2/5 provisional</t>
  </si>
  <si>
    <t>10/22 (45.5% conservador; real técnico 20/22)</t>
  </si>
  <si>
    <t>Sin bloqueo conservador: 10 | Total: 22 | Real técnico: 20/22</t>
  </si>
  <si>
    <t>Total vista ejecutiva</t>
  </si>
  <si>
    <t>57/70</t>
  </si>
  <si>
    <t>18/24</t>
  </si>
  <si>
    <t>75/94 (79.8% cobertura operativa conservadora; real técnico 85/94)</t>
  </si>
  <si>
    <t>Sin bloqueo conservador: 75 | Total: 94 | Real técnico: 85</t>
  </si>
  <si>
    <t>Nota sobre evidencias</t>
  </si>
  <si>
    <t>El reporte evita rutas locales no versionadas; las evidencias se referencian por tipo de artefacto generado por el framework.</t>
  </si>
  <si>
    <t>Leyenda de colores</t>
  </si>
  <si>
    <t>Ver hoja 11_Leyenda_Colores. Solo cabeceras y celdas de estado/progreso usan color.</t>
  </si>
  <si>
    <t>Casos de uso de validación A5.2/E5.2</t>
  </si>
  <si>
    <t>Casos de uso de validación para A5.2 / E5.2</t>
  </si>
  <si>
    <t>Caso de uso</t>
  </si>
  <si>
    <t>Componentes involucrados</t>
  </si>
  <si>
    <t>Flujo funcional resumido</t>
  </si>
  <si>
    <t>Pruebas/casos que lo respaldan</t>
  </si>
  <si>
    <t>Evidencia / fuente</t>
  </si>
  <si>
    <t>Limitación / dependencia</t>
  </si>
  <si>
    <t>Observación</t>
  </si>
  <si>
    <t>UC-A52-01</t>
  </si>
  <si>
    <t>Provider publica y gestiona una ontología/vocabulario</t>
  </si>
  <si>
    <t>Demostrar que un usuario con permisos puede registrar vocabularios, versiones y metadatos en Ontology Hub.</t>
  </si>
  <si>
    <t>Ontology Provider / Admin</t>
  </si>
  <si>
    <t>Paso 1: Iniciar sesión.
Paso 2: Abrir VOCABS.
Paso 3: Crear/importar vocabulario.
Paso 4: Editar metadatos/tags.
Paso 5: Gestionar versiones.
Paso 6: Validar que el vocabulario aparece en catálogo.</t>
  </si>
  <si>
    <t>PT5-OH-01..16, OH-APP-03, OH-APP-04, OH-APP-10, OH-APP-12, OH-APP-13</t>
  </si>
  <si>
    <t>Automatizado con issues de componente pendientes</t>
  </si>
  <si>
    <t>Evidencia generada por el framework de validación
Resultados estructurados JSON generados por la suite</t>
  </si>
  <si>
    <t>OH-APP-10 sigue fallando por persistencia de metadata/tags; versionado ENOENT se mantiene como issue abierto.</t>
  </si>
  <si>
    <t>Tenemos el caso de uso registrado y probado; los fallos restantes estan identificados para el desarrollador del componente.</t>
  </si>
  <si>
    <t>UC-A52-02</t>
  </si>
  <si>
    <t>Consumer descubre, filtra y descarga vocabularios</t>
  </si>
  <si>
    <t>Validar que un usuario puede localizar vocabularios y obtener artefactos semánticos reutilizables.</t>
  </si>
  <si>
    <t>Paso 1: Abrir catálogo público.
Paso 2: Buscar/filtrar vocabulario.
Paso 3: Abrir detalle.
Paso 4: Descargar representaciones disponibles.
Paso 5: Consultar términos.</t>
  </si>
  <si>
    <t>OH-APP-05, OH-APP-06, OH-APP-19, OH-APP-25, OH-APP-26, OH-APP-27</t>
  </si>
  <si>
    <t>Automatizado / mayoritariamente passed</t>
  </si>
  <si>
    <t>Evidencia generada por el framework de validación
Artefactos Playwright generados localmente cuando aplica</t>
  </si>
  <si>
    <t>Mantener issue si alguna descarga depende de datos incompletos en el componente.</t>
  </si>
  <si>
    <t>El flujo de descubrimiento semántico ya tiene evidencia visual y trazabilidad en la suite OH-APP.</t>
  </si>
  <si>
    <t>UC-A52-03</t>
  </si>
  <si>
    <t>Consumer accede a Ontology Hub desde INESData</t>
  </si>
  <si>
    <t>Validar que el conector/entorno INESData conoce y puede consumir información semantica publicada.</t>
  </si>
  <si>
    <t>Data Consumer / Data Space Operator</t>
  </si>
  <si>
    <t>INESData + Ontology Hub</t>
  </si>
  <si>
    <t>Paso 1: Iniciar sesión en INESData.
Paso 2: Leer configuración/ontologyUrl del conector.
Paso 3: Consultar Vocabularies desde INESData.
Paso 4: Verificar respuesta de Ontology Hub.</t>
  </si>
  <si>
    <t>DS-UI-OH-01, PT5-OH-16, INT-OH-DS-03</t>
  </si>
  <si>
    <t>Automatizado / passed</t>
  </si>
  <si>
    <t>Evidencia generada por el framework de validación
Dashboard local de experimento generado por el framework</t>
  </si>
  <si>
    <t>Flujo read-only; si se exige gobierno contractual de Ontology Hub se podria agregar asset HttpData específico.</t>
  </si>
  <si>
    <t>La integración OH-INESData ya esta demostrada sin mutar datos, útil para validación visual estable.</t>
  </si>
  <si>
    <t>UC-A52-04</t>
  </si>
  <si>
    <t>Provider prepara un mapping semántico desde el mapping-editor</t>
  </si>
  <si>
    <t>Demostrar que el usuario puede cargar ontologías/fuentes y trabajar con mappings en la UI del virtualizador.</t>
  </si>
  <si>
    <t>Data Provider / Semantic Engineer</t>
  </si>
  <si>
    <t>Semantic Virtualization / mapping-editor</t>
  </si>
  <si>
    <t>Paso 1: Abrir mapping-editor.
Paso 2: Crear o importar mapping.
Paso 3: Importar ontología.
Paso 4: Cargar fuente CSV.
Paso 5: Revisar paneles de configuración/exportacion.</t>
  </si>
  <si>
    <t>SV-UI-07, SV-UI-08, PT5-VS-01, PT5-VS-06, PT5-VS-07, PT5-VS-09</t>
  </si>
  <si>
    <t>Authoring completo de TriplesMap desde UI queda para SV-UI-09.</t>
  </si>
  <si>
    <t>El mapping-editor ya tiene validaciones visuales funcionales con marcadores visuales para revisión externa.</t>
  </si>
  <si>
    <t>UC-A52-05</t>
  </si>
  <si>
    <t>QA / Validación inspecciona y explica un mapping no vacio</t>
  </si>
  <si>
    <t>Mostrar que el mapping no solo se carga: tambien puede explorarse, visualizarse y relacionarse con ontologías.</t>
  </si>
  <si>
    <t>QA / Validación / Semantic Engineer</t>
  </si>
  <si>
    <t>Paso 1: Importar mapping RML no vacio.
Paso 2: Importar ontología.
Paso 3: Abrir Explore Mapping.
Paso 4: Consultar red, búsquedas predefinidas y preview.
Paso 5: Abrir Ontology-Mapping Lens.</t>
  </si>
  <si>
    <t>SV-UI-10, PT5-VS-07, PT5-VS-09</t>
  </si>
  <si>
    <t>Automatizado / passed 2026-05-07</t>
  </si>
  <si>
    <t>No ejecuta materializacion; eso queda para SV-UI-11.</t>
  </si>
  <si>
    <t>Nuevo avance del sprint: caso de uso visual de explicabilidad de mappings ya implementado y ejecutado.</t>
  </si>
  <si>
    <t>UC-A52-06</t>
  </si>
  <si>
    <t>Consumer descubre y negocia salida virtualizada como asset HttpData</t>
  </si>
  <si>
    <t>Validar que la salida RDF del virtualizador se gobierna mediante el conector de INESData.</t>
  </si>
  <si>
    <t>Provider / Consumer</t>
  </si>
  <si>
    <t>INESData + Semantic Virtualization</t>
  </si>
  <si>
    <t>Paso 1: Provider publica asset HttpData del virtualizador.
Paso 2: Consumer abre catálogo.
Paso 3: Consumer localiza asset.
Paso 4: Abre detalle/ofertas.
Paso 5: Negocia acceso.</t>
  </si>
  <si>
    <t>DS-UI-SV-01, SV-GTFS-BENCH-04, PT5-VS-11</t>
  </si>
  <si>
    <t>Automatizado / API+UI passed</t>
  </si>
  <si>
    <t>Transferencia completa queda opcional; la evidencia vigente usa negociación y skip-transfer controlado para evitar mutaciones pesadas.</t>
  </si>
  <si>
    <t>La integración principal del virtualizador con INESData esta demostrada con UI y API.</t>
  </si>
  <si>
    <t>UC-A52-07</t>
  </si>
  <si>
    <t>QA / Validación traza dataset GTFS-Bench oficial hasta RDF publicado</t>
  </si>
  <si>
    <t>Acreditar que la prueba de virtualizacion usa datos derivados de una fuente oficial y reproducible.</t>
  </si>
  <si>
    <t>Semantic Virtualization + GTFS-Bench + INESData</t>
  </si>
  <si>
    <t>Paso 1: Validar repositorio oficial GTFS-Bench.
Paso 2: Derivar muestra de validación trazable.
Paso 3: Materializar RDF.
Paso 4: Publicar RDF como HttpData.
Paso 5: Registrar hashes/metadatos.</t>
  </si>
  <si>
    <t>SV-GTFS-BENCH-01..04</t>
  </si>
  <si>
    <t>Usar muestra derivada para validación visual; el dataset completo puede quedar como ejecución pesada fuera de la validación habitual.</t>
  </si>
  <si>
    <t>Se puede documentar que no usamos datos arbitrarios: hay trazabilidad al repo oficial GTFS-Bench.</t>
  </si>
  <si>
    <t>UC-A52-08</t>
  </si>
  <si>
    <t>Provider publica modelo de IA como asset gobernado</t>
  </si>
  <si>
    <t>Validar que un modelo o endpoint de modelo se registra como asset en el dataspace.</t>
  </si>
  <si>
    <t>Model Provider</t>
  </si>
  <si>
    <t>INESData + AI Model Hub</t>
  </si>
  <si>
    <t>Paso 1: Provider registra asset HttpData del modelo.
Paso 2: Define policy/contract.
Paso 3: Verifica aparición en catálogo.
Paso 4: Consumer revisa metadatos visibles e inicia negociación.
Paso 5: El framework confirma por API que existe un agreement asociado al asset.</t>
  </si>
  <si>
    <t>DS-UI-AMH-01, PT5-MH-03, PT5-MH-08..11</t>
  </si>
  <si>
    <t>Depende de que el endpoint real de inferencia permanezca estable en el componente.</t>
  </si>
  <si>
    <t>El flujo de gobierno del modelo desde INESData ya está cubierto visualmente y confirma agreement del consumidor.</t>
  </si>
  <si>
    <t>UC-A52-09</t>
  </si>
  <si>
    <t>Consumer descubre modelos y usa dashboard especializado</t>
  </si>
  <si>
    <t>Mostrar que el consumer puede navegar los modelos disponibles y usar UI especializada de AI Model Hub.</t>
  </si>
  <si>
    <t>Model Consumer</t>
  </si>
  <si>
    <t>AI Model Hub + INESData</t>
  </si>
  <si>
    <t>Paso 1: Consumer inicia sesión.
Paso 2: Abre AI Model Browser.
Paso 3: Filtra/abre detalle de modelo.
Paso 4: Accede a Execution o Benchmarking segun disponibilidad.</t>
  </si>
  <si>
    <t>PT5-MH-01..11, DS-UI-AMH-01</t>
  </si>
  <si>
    <t>Automatizado / cobertura alta</t>
  </si>
  <si>
    <t>Evidencia generada por el framework</t>
  </si>
  <si>
    <t>Algunos flujos reales de inferencia dependen del build actualizado de AI Model Hub.</t>
  </si>
  <si>
    <t>Se puede presentar como uso combinado: INESData gobierna el acceso y AI Model Hub especializa la experiencia del modelo.</t>
  </si>
  <si>
    <t>UC-A52-10</t>
  </si>
  <si>
    <t>Consumer compara modelos mediante benchmarking reproducible</t>
  </si>
  <si>
    <t>Validar comparación de modelos con datasets/métricas controladas y evidencia visual.</t>
  </si>
  <si>
    <t>Model Consumer / QA / Validación</t>
  </si>
  <si>
    <t>Paso 1: Abrir Model Benchmarking.
Paso 2: Seleccionar modelos.
Paso 3: Cargar dataset de validación.
Paso 4: Ejecutar benchmark.
Paso 5: Revisar ranking/métricas/best model.</t>
  </si>
  <si>
    <t>PT5-MH-12..15, MH-MOB-01</t>
  </si>
  <si>
    <t>Benchmark con inferencia real queda condicionado al endpoint compatible; actual es reproducible/controlado.</t>
  </si>
  <si>
    <t>La validación visual de benchmarking ya es visual, reproducible y apta para validación externa.</t>
  </si>
  <si>
    <t>UC-A52-11</t>
  </si>
  <si>
    <t>Observer registra evidencia verificable del ciclo de vida del modelo</t>
  </si>
  <si>
    <t>Preparar trazabilidad de discovery, negociación, ejecución y benchmark para Clearing House.</t>
  </si>
  <si>
    <t>QA / Validación / Operator</t>
  </si>
  <si>
    <t>AI Model Hub Observer / INESData</t>
  </si>
  <si>
    <t>Paso 1: Crear evento Observer.
Paso 2: Registrar eventos bulk/timeline.
Paso 3: Consultar evidencia por acuerdo/modelo.
Paso 4: Mostrar resumen por participante.</t>
  </si>
  <si>
    <t>MH-OBS-01, MH-OBS-02, MH-OBS-03..06</t>
  </si>
  <si>
    <t>Preparado como smoke UI/API; pendiente de integración final del componente</t>
  </si>
  <si>
    <t>Observer UI/API aún no integrado en el entorno actual; los tests generan skips controlados.</t>
  </si>
  <si>
    <t>Tenemos la estrategia y smoke tests preparados; queda desbloquear rutas reales con equipo del componente/coordinación técnica.</t>
  </si>
  <si>
    <t>UC-A52-12</t>
  </si>
  <si>
    <t>QA / Validación revisa ejecución de validación y evidencias en dashboard</t>
  </si>
  <si>
    <t>Centralizar resultados de experimentos, capturas, videos y JSON para documentar reproducibilidad.</t>
  </si>
  <si>
    <t>Framework de validación + Dashboard</t>
  </si>
  <si>
    <t>Paso 1: Ejecutar Level 6 o suite opt-in.
Paso 2: Abrir dashboard del experimento.
Paso 3: Revisar estado por componente.
Paso 4: Abrir reporte Playwright/Newman/JSON.
Paso 5: Confirmar trazabilidad a Excel.</t>
  </si>
  <si>
    <t>PLAN-08, PLAN-09, dashboards framework-report, Level 6</t>
  </si>
  <si>
    <t>En progreso alto / dashboards principales generados</t>
  </si>
  <si>
    <t>Consolidar paquete final y normalizar nombres E5.2 al cierre.</t>
  </si>
  <si>
    <t>El framework ya no solo ejecuta: tambien organiza evidencias para revisión externa.</t>
  </si>
  <si>
    <t>UC-A52-13</t>
  </si>
  <si>
    <t>Caso de uso lingüístico: clasificación/categorización de textos FLARES</t>
  </si>
  <si>
    <t>Validar el ciclo completo de un caso de uso del espacio de datos lingüístico, usando FLARES o una muestra controlada para categorizar texto y/o estimar confiabilidad.</t>
  </si>
  <si>
    <t>Model Provider / Model Consumer / QA / Validación</t>
  </si>
  <si>
    <t>AI Model Hub + INESData + dataset lingüístico FLARES</t>
  </si>
  <si>
    <t>Paso 1: Preparar dataset lingüístico FLARES trazable.
Paso 2: Registrar modelo/endpoint como asset gobernado en INESData.
Paso 3: Consumer descubre y negocia acceso.
Paso 4: Abrir AI Model Browser/Execution/Benchmarking según corresponda.
Paso 5: Registrar evidencia funcional e integración.</t>
  </si>
  <si>
    <t>MH-LING-01, PT5-MH-01..18, DS-UI-AMH-01, PT5-MH-12..15</t>
  </si>
  <si>
    <t>Definido / parcialmente automatizado; pendiente dataset-endpoint real estable</t>
  </si>
  <si>
    <t>Alinear con equipo del componente que dataset FLARES/modelo endpoint esten disponibles; los modelos concretos se decidiran segun el caso de uso y datos.</t>
  </si>
  <si>
    <t>Alineado con coordinación técnica: el foco no es XGBoost/Linear Regression/Decisión Tree, sino el caso lingüístico; el modelo queda como decisión técnica posterior.</t>
  </si>
  <si>
    <t>UC-A52-14</t>
  </si>
  <si>
    <t>Caso de uso movilidad: predicción sobre datos GTFS</t>
  </si>
  <si>
    <t>Validar el ciclo completo de un caso de movilidad con datos tipo GTFS, orientado a predicción de tiempos, delays o patrones operativos.</t>
  </si>
  <si>
    <t>Data Provider / Model Provider / Model Consumer / QA / Validación</t>
  </si>
  <si>
    <t>Semantic Virtualization + AI Model Hub + INESData + GTFS-Bench</t>
  </si>
  <si>
    <t>Paso 1: Preparar dataset GTFS trazable.
Paso 2: Virtualizar/materializar datos o publicar salida RDF.
Paso 3: Registrar el recurso/modelo como asset HttpData en INESData.
Paso 4: Consumer descubre y negocia acceso.
Paso 5: Ejecutar benchmark/predicción de movilidad.
Paso 6: Registrar resultados, métricas y trazabilidad del dataset.</t>
  </si>
  <si>
    <t>MH-MOB-01, SV-GTFS-BENCH-01..04, DS-UI-SV-01, DS-UI-AMH-01, PT5-VS-11, PT5-MH-12..15</t>
  </si>
  <si>
    <t>Definido / automatización alta con fixtures; pendiente modelo real final si se exige inferencia live</t>
  </si>
  <si>
    <t>Confirmar con equipo del componente/coordinación técnica si el objetivo final sera estimación de llegada/delay u otro patron; ajustar modelo segun dataset.</t>
  </si>
  <si>
    <t>Alineado con coordinación técnica: el caso de movilidad guia dataset y validación; el modelo se elige después segun datos y metrica.</t>
  </si>
  <si>
    <t>Flujos de integración mediante INESData</t>
  </si>
  <si>
    <t>Flujos de componentes a traves de INESData / conector</t>
  </si>
  <si>
    <t>FLOW-DS-01</t>
  </si>
  <si>
    <t>Ciclo base provider-consumer en INESData</t>
  </si>
  <si>
    <t>Integración UI EDC</t>
  </si>
  <si>
    <t>- Provider y consumer disponibles
- Keycloak y conectores operativos</t>
  </si>
  <si>
    <t>Paso 1: Provider inicia sesión en INESData.
Paso 2: Provider crea asset, policy y contract definition.
Paso 3: Consumer inicia sesión y abre Catalog.
Paso 4: Consumer localiza el asset, negocia contrato y registra acuerdo.
Paso 5: Consumer inicia transferencia y revisa Transfer History.</t>
  </si>
  <si>
    <t>El asset recorre el ciclo completo publicación-descubrimiento-contrato-transferencia.</t>
  </si>
  <si>
    <t>validation/ui/adapters/inesdata/specs/03-provider-setup.spec.ts
validation/ui/adapters/inesdata/specs/03b-provider-policy-create.spec.ts
validation/ui/adapters/inesdata/specs/03c-provider-contract-definition-create.spec.ts
validation/ui/adapters/inesdata/specs/05-consumer-negotiation.spec.ts
validation/ui/adapters/inesdata/specs/06-consumer-transfer.spec.ts</t>
  </si>
  <si>
    <t>Automatizado</t>
  </si>
  <si>
    <t>Entregable E5.1 de validación</t>
  </si>
  <si>
    <t>Flujo comun que explica la integración de cualquier componente como asset gobernado por conector.</t>
  </si>
  <si>
    <t>FLOW-AMH-DS-01</t>
  </si>
  <si>
    <t>AI Model Hub publica/descubre modelos mediante el conector</t>
  </si>
  <si>
    <t>Integración componente-dataspace</t>
  </si>
  <si>
    <t>Model Provider / Model Consumer</t>
  </si>
  <si>
    <t>- AI Model Hub desplegado
- Conectores INESData accesibles</t>
  </si>
  <si>
    <t>Paso 1: Provider registra o prepara modelo como asset ML/HttpData.
Paso 2: Provider publica el asset en el catálogo federado.
Paso 3: Consumer abre AI Model Hub/Catalog Browser.
Paso 4: Consumer localiza el modelo y revisa metadatos controlados.
Paso 5: Consumer negocia acceso cuando existe oferta.
Paso 6: El framework verifica que el conector consumidor registra el agreement.</t>
  </si>
  <si>
    <t>El modelo queda gobernado por el conector y visible para consumer.</t>
  </si>
  <si>
    <t>validation/components/ai_model_hub/ui/specs/pt5_mh_03_catalog_publication.spec.js
validation/components/ai_model_hub/ui/specs/pt5_mh_08_contract_negotiation.spec.js
validation/components/ai_model_hub/connector_governance_api.py</t>
  </si>
  <si>
    <t>Automatizado / ejecución INESData marcada passed 2026-05-06</t>
  </si>
  <si>
    <t>Evidencia generada por el framework de validación
Resultados estructurados JSON generados por la suite
Dashboard local de experimento generado por el framework</t>
  </si>
  <si>
    <t>Entregable E5.1 de validación
Entregable técnico de AI Model Hub</t>
  </si>
  <si>
    <t>Enfoque alineado con coordinación técnica: usar API/HttpData y UI de validación visual sin desarrollar extensión nueva dentro del conector.
DS-UI-AMH-01 publica modelo HttpData, valida metadatos visibles, consumer lo descubre, abre detalle/ofertas, negocia desde INESData UI y confirma el agreement por API.</t>
  </si>
  <si>
    <t>FLOW-AMH-DS-02</t>
  </si>
  <si>
    <t>AI Model Hub ejecuta y compara modelos tras autorizacion</t>
  </si>
  <si>
    <t>Validación visual para revisión externa UI</t>
  </si>
  <si>
    <t>- Modelos FLARES preparados
- Dataset benchmark disponible
- Validación visual UI activada</t>
  </si>
  <si>
    <t>Paso 1: Abrir Model Benchmarking.
Paso 2: Seleccionar FLARES Reliability Baseline A y B.
Paso 3: Cargar FLARES benchmark dataset.
Paso 4: Click en Run Benchmark.
Paso 5: Ver tabla de resultados, métricas y Best Model.</t>
  </si>
  <si>
    <t>La UI muestra ejecución reproducible, métricas y comparación visual.</t>
  </si>
  <si>
    <t>validation/components/ai_model_hub/ui/specs/pt5_mh_12_15_model_benchmarking_demo.spec.js</t>
  </si>
  <si>
    <t>Automatizado / passed 4/4</t>
  </si>
  <si>
    <t>La inferencia se intercepta de forma controlada para validación visual; la inferencia real queda cubierta por runner API HttpData.</t>
  </si>
  <si>
    <t>FLOW-VS-DS-01</t>
  </si>
  <si>
    <t>Virtualizador expone salida semantica como HttpData</t>
  </si>
  <si>
    <t>Semantic Virtualization + INESData</t>
  </si>
  <si>
    <t>Data Provider / Data Consumer</t>
  </si>
  <si>
    <t>- Semantic Virtualization desplegado
- Provider/consumer conectados</t>
  </si>
  <si>
    <t>Paso 1: Provider prepara endpoint de consulta/salida semantizada.
Paso 2: Framework publica asset HttpData apuntando al virtualizador.
Paso 3: Consumer descubre asset desde catálogo INESData.
Paso 4: Consumer negocia contrato.
Paso 5: Consumer inicia consumo/transferencia autorizada.</t>
  </si>
  <si>
    <t>La salida semantica entra en el ciclo normal de INESData.</t>
  </si>
  <si>
    <t>validation/components/semantic_virtualization/dataspace_integration.py
validation/ui/adapters/inesdata/specs/07-semantic-virtualization-httpdata.spec.ts</t>
  </si>
  <si>
    <t>Automatizado / passed 2026-05-06 / Ejecución INESData marcada passed 2026-05-06</t>
  </si>
  <si>
    <t>Entregable E5.1 de validación
Entregable técnico de Semantic Virtualization</t>
  </si>
  <si>
    <t>Cubre la integración recomendada por API/HttpData. La validación visual deja capturas de login, detalle, ofertas y negociación completada.
Ejecución con evidencias verificables 2026-05-06: DS-UI-SV-01 1/1 Playwright passed con PLAYWRIGHT_INTERACTION_MARKERS=1; provider publica asset HttpData del virtualizador, consumer lo descubre, abre detalle/ofertas y negocia desde INESData UI.</t>
  </si>
  <si>
    <t>FLOW-VS-AMH-01</t>
  </si>
  <si>
    <t>Salida virtualizada trazable hacia AI Model Hub</t>
  </si>
  <si>
    <t>Semantic Virtualization + AI Model Hub</t>
  </si>
  <si>
    <t>Integración cruzada trazable</t>
  </si>
  <si>
    <t>- Evidencia VS HttpData disponible
- Repositorio oficial GTFS-Madrid-Bench sincronizado</t>
  </si>
  <si>
    <t>Paso 1: Leer evidencia de publicación HttpData del virtualizador.
Paso 2: Verificar trazabilidad GTFS/MH-MOB-01.
Paso 3: Comparar conteos, join keys y hash de expected_outputs.
Paso 4: Registrar puente de trazabilidad hacia AI Model Hub.</t>
  </si>
  <si>
    <t>Existe evidencia reproducible de que el output VS puede alimentar el caso de movilidad de AI Model Hub.</t>
  </si>
  <si>
    <t>validation/components/ai_model_hub/virtualization_traceability.py</t>
  </si>
  <si>
    <t>Entregable E5.1 de validación
Entregable técnico de AI Model Hub
Entregable técnico de Semantic Virtualization</t>
  </si>
  <si>
    <t>No implica consumo directo en UI de AI Model Hub todavia; es puente defendible.</t>
  </si>
  <si>
    <t>FLOW-OH-DS-01</t>
  </si>
  <si>
    <t>Ontology Hub consultado desde la interfaz de INESData</t>
  </si>
  <si>
    <t>Ontology Hub + INESData</t>
  </si>
  <si>
    <t>Integración UI read-only</t>
  </si>
  <si>
    <t>Consumer / QA / Validación</t>
  </si>
  <si>
    <t>- INESData consumer connector disponible
- Ontology Hub desplegado
- app.config.json del conector contiene ontologyUrl hacia Ontology Hub
- validación visual activada con UI_ONTOLOGY_HUB_INESDATA_DEMO=1</t>
  </si>
  <si>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</si>
  <si>
    <t>INESData demuestra conexión operativa con Ontology Hub desde su UI y APIs de soporte sin mutar recursos.</t>
  </si>
  <si>
    <t>validation/ui/adapters/inesdata/specs/08-ontology-hub-inesdata-readonly.spec.ts
Variable de ejecución: UI_ONTOLOGY_HUB_INESDATA_DEMO=1</t>
  </si>
  <si>
    <t>Automatizado / passed 2026-05-06</t>
  </si>
  <si>
    <t>Entregable E5.1 de validación
Entregable técnico de Ontology Hub
Logs de ejecución del framework</t>
  </si>
  <si>
    <t>Cubre PT5-OH-16 / INT-OH-DS-03 como conexión read-only. Si se exige gobierno contractual explícito, el siguiente incremento sería publicar un endpoint de Ontology Hub como asset HttpData.</t>
  </si>
  <si>
    <t>FLOW-AMH-DS-03</t>
  </si>
  <si>
    <t>AI Model Hub como modelo HttpData negociado desde INESData UI</t>
  </si>
  <si>
    <t>Integración UI componente-dataspace</t>
  </si>
  <si>
    <t>- INESData provider y consumer disponibles
- Model server/control endpoint representable como HttpData
- Level 6 habilita la validación visual; para ejecución manual directa se puede usar UI_AI_MODEL_HUB_HTTPDATA_DEMO=1</t>
  </si>
  <si>
    <t>Paso 1: Bootstrap por API crea un asset de modelo HttpData en el provider.
Paso 2: Consumer inicia sesión en la UI de INESData.
Paso 3: Consumer abre Catalog Browser.
Paso 4: Consumer espera a que el modelo aparezca en el catálogo federado.
Paso 5: Consumer abre View details and contract offers.
Paso 6: El framework valida identificador y nombre controlado del modelo en el detalle.
Paso 7: Consumer abre Contract Offers y negocia el primer contrato disponible.
Paso 8: El framework confirma por API que existe un agreement del consumer para ese asset.
Paso 9: El framework guarda capturas, video, JSON de bootstrap/readiness/agreement y reporte final.</t>
  </si>
  <si>
    <t>El modelo queda visible como asset gobernado por INESData, sus metadatos controlados son visibles y el contrato se negocia correctamente desde la UI con agreement verificable por API.</t>
  </si>
  <si>
    <t>validation/ui/adapters/inesdata/specs/09-ai-model-hub-httpdata.spec.ts
Variable de ejecución: UI_AI_MODEL_HUB_HTTPDATA_DEMO=1</t>
  </si>
  <si>
    <t>Entregable E5.1 de validación
Entregable técnico de AI Model Hub
Logs de ejecución del framework</t>
  </si>
  <si>
    <t>Usa limpieza segura activable limitada a artefactos QA para reducir ruido del Catalog Browser. No ejecuta inferencia; la inferencia API queda cubierta por PT5-MH-10.
DS-UI-AMH-01 publica modelo HttpData, valida metadatos visibles, consumer lo descubre, abre detalle/ofertas, negocia desde INESData UI y confirma el agreement por API.</t>
  </si>
  <si>
    <t>FLOW-AMH-DS-04</t>
  </si>
  <si>
    <t>AI Model Observer / Clearing House desde INESData</t>
  </si>
  <si>
    <t>Integración de gobernanza y observabilidad</t>
  </si>
  <si>
    <t>Model Consumer / QA / Auditoría</t>
  </si>
  <si>
    <t>- INESData desplegado con connector interface
- Public portal backend con rutas /api/model-observer
- Nivel 6 con UI dataspace y validación de componentes activadas</t>
  </si>
  <si>
    <t>Paso 1: Nivel 6 abre AI Model Observer desde la UI consumer.
Paso 2: Valida navegación a timeline, agreement evidence, benchmark evidence y participant summary.
Paso 3: El runner API envía eventos QA controlados al journal Observer.
Paso 4: Consulta timeline/agreement/benchmark/summary y verifica hashes/counters sin payloads sensibles.</t>
  </si>
  <si>
    <t>Observer registra y expone evidencia controlada de operaciones de modelos sin almacenar datasets ni payloads crudos.</t>
  </si>
  <si>
    <t>validation/ui/adapters/inesdata/specs/10-ai-model-observer.spec.ts
validation/components/ai_model_hub/model_observer_api.py</t>
  </si>
  <si>
    <t>Automatizado / mapped / pendiente evidencia final Level 6</t>
  </si>
  <si>
    <t>Evidencia generada por el framework de validación
Artefactos Playwright/JSON generados localmente cuando aplica
Resultados estructurados JSON generados por la suite</t>
  </si>
  <si>
    <t>Entregable E5.1 de validación
Entregable técnico del componente
Catálogos YAML del framework</t>
  </si>
  <si>
    <t>Reconciliado 2026-05-18: el framework deriva la URL backend-&lt;dataspace&gt;.&lt;domain&gt; desde la configuración activa del despliegue y permite override explícito si el entorno usa un backend no estándar.</t>
  </si>
  <si>
    <t>Casos de prueba de interfaz INESData</t>
  </si>
  <si>
    <t>Casos automatizados de interfaz INESData</t>
  </si>
  <si>
    <t>DS-UI-01</t>
  </si>
  <si>
    <t>Portal login readiness</t>
  </si>
  <si>
    <t>support</t>
  </si>
  <si>
    <t>Provider / Consumer / QA</t>
  </si>
  <si>
    <t>- Connector portal URL is reachable
- Valid connector credentials are available</t>
  </si>
  <si>
    <t>Paso 1: Abrir el portal del conector.
Paso 2: Autenticarse mediante Keycloak cuando aplique.
Paso 3: Verificar que la shell del portal carga correctamente.</t>
  </si>
  <si>
    <t>The authenticated connector shell becomes available</t>
  </si>
  <si>
    <t>validation/ui/adapters/inesdata/specs/01-login-readiness.spec.ts</t>
  </si>
  <si>
    <t>Automatizado / Level 6 smoke</t>
  </si>
  <si>
    <t>Smoke inicial ejecutado para provider y consumer antes de las suites dataspace.</t>
  </si>
  <si>
    <t>DS-UI-03</t>
  </si>
  <si>
    <t>Provider asset creation and upload</t>
  </si>
  <si>
    <t>functional</t>
  </si>
  <si>
    <t>- Provider connector portal is reachable
- Provider credentials are available
- Upload storage is configured for the connector</t>
  </si>
  <si>
    <t>Paso 1: Crear un asset desde el portal provider.
Paso 2: Subir un fichero al destino de almacenamiento configurado.
Paso 3: Verificar que el flujo termina sin errores HTTP.</t>
  </si>
  <si>
    <t>The asset is created successfully and the upload completes without HTTP errors</t>
  </si>
  <si>
    <t>validation/ui/adapters/inesdata/specs/03-provider-setup.spec.ts</t>
  </si>
  <si>
    <t>Automatizado / Level 6 dataspace</t>
  </si>
  <si>
    <t>Parte del perfil UI dataspace de nivel 6.</t>
  </si>
  <si>
    <t>DS-UI-03B</t>
  </si>
  <si>
    <t>Provider policy creation</t>
  </si>
  <si>
    <t>- Provider connector portal is reachable
- Provider credentials are available</t>
  </si>
  <si>
    <t>Paso 1: Abrir la vista de creación de policies.
Paso 2: Definir una restricción de participante.
Paso 3: Persistir la policy desde la UI.</t>
  </si>
  <si>
    <t>The policy is created and visible in the provider portal</t>
  </si>
  <si>
    <t>validation/ui/adapters/inesdata/specs/03b-provider-policy-create.spec.ts</t>
  </si>
  <si>
    <t>DS-UI-03C</t>
  </si>
  <si>
    <t>Provider contract definition creation</t>
  </si>
  <si>
    <t>- Provider connector portal is reachable
- Provider credentials are available
- A compatible asset and policy can be created during the flow</t>
  </si>
  <si>
    <t>Paso 1: Crear asset y policy de prerrequisito.
Paso 2: Abrir la vista de contract definitions.
Paso 3: Crear una definición que enlace asset y policy.</t>
  </si>
  <si>
    <t>The contract definition is created and listed successfully</t>
  </si>
  <si>
    <t>validation/ui/adapters/inesdata/specs/03c-provider-contract-definition-create.spec.ts</t>
  </si>
  <si>
    <t>DS-UI-04</t>
  </si>
  <si>
    <t>Consumer catalog listing and detail</t>
  </si>
  <si>
    <t>- Consumer connector portal is reachable
- Consumer credentials are available
- The catalog view is exposed by the portal</t>
  </si>
  <si>
    <t>Paso 1: Abrir Catalog.
Paso 2: Verificar que el listado renderiza sin errores de acceso.
Paso 3: Abrir un detalle de catálogo cuando exista.</t>
  </si>
  <si>
    <t>The consumer catalog loads and its detail surface is reachable without API errors</t>
  </si>
  <si>
    <t>validation/ui/adapters/inesdata/specs/04-consumer-catalog.spec.ts</t>
  </si>
  <si>
    <t>Smoke funcional del consumer catalog.</t>
  </si>
  <si>
    <t>DS-UI-05</t>
  </si>
  <si>
    <t>Consumer negotiation from catalog</t>
  </si>
  <si>
    <t>integration</t>
  </si>
  <si>
    <t>- Provider and consumer connectors are reachable
- Provider bootstrap data can be created through management APIs</t>
  </si>
  <si>
    <t>Paso 1: Crear datos provider para negociación.
Paso 2: Abrir el catálogo consumer y localizar el asset.
Paso 3: Negociar la primera oferta disponible.</t>
  </si>
  <si>
    <t>A contract negotiation completes successfully from the consumer UI</t>
  </si>
  <si>
    <t>validation/ui/adapters/inesdata/specs/05-consumer-negotiation.spec.ts</t>
  </si>
  <si>
    <t>DS-UI-06</t>
  </si>
  <si>
    <t>Consumer transfer from contracts and history</t>
  </si>
  <si>
    <t>- Provider and consumer connectors are reachable
- Contract negotiation can complete successfully</t>
  </si>
  <si>
    <t>Paso 1: Crear y negociar un asset desde la UI consumer.
Paso 2: Iniciar transferencia INESDataStore.
Paso 3: Confirmar estado final correcto en Transfer History.</t>
  </si>
  <si>
    <t>The transfer is initiated successfully and reaches a successful final state in the UI</t>
  </si>
  <si>
    <t>validation/ui/adapters/inesdata/specs/06-consumer-transfer.spec.ts</t>
  </si>
  <si>
    <t>Parte del perfil UI dataspace de nivel 6; Kafka/streaming transfer se valida aparte por coste temporal.</t>
  </si>
  <si>
    <t>DS-UI-SV-01</t>
  </si>
  <si>
    <t>Semantic Virtualization HttpData discovery and negotiation from INESData UI</t>
  </si>
  <si>
    <t>- Semantic Virtualization deployed in Level 5
- Provider and consumer connectors are reachable
- Internal HttpData endpoint is reachable from connector pods</t>
  </si>
  <si>
    <t>Paso 1: Publicar un asset HttpData que apunta al virtualizador.
Paso 2: Abrir Catalog Browser desde consumer.
Paso 3: Localizar el asset semántico.
Paso 4: Abrir detalle/ofertas y negociar.</t>
  </si>
  <si>
    <t>The Semantic Virtualization HttpData asset is visible from the consumer UI and can be negotiated successfully</t>
  </si>
  <si>
    <t>validation/ui/adapters/inesdata/specs/07-semantic-virtualization-httpdata.spec.ts</t>
  </si>
  <si>
    <t>Automatizado / Level 6 dataspace / passed histórico 2026-05-06</t>
  </si>
  <si>
    <t>Level 6 habilita UI_SEMANTIC_VIRTUALIZATION_HTTPDATA_DEMO por defecto. En ejecución manual se puede ajustar UI_INGRESS_PORT o port-forward si el entorno lo requiere.</t>
  </si>
  <si>
    <t>DS-UI-OH-01</t>
  </si>
  <si>
    <t>Ontology Hub readonly integration from INESData UI</t>
  </si>
  <si>
    <t>integration UI read-only</t>
  </si>
  <si>
    <t>Consumer / QA</t>
  </si>
  <si>
    <t>- Consumer connector portal is reachable
- Ontology Hub is deployed
- Runtime config exposes ontologyUrl</t>
  </si>
  <si>
    <t>Paso 1: Abrir INESData consumer.
Paso 2: Leer app.config.json.
Paso 3: Validar ruta Vocabularies y API pública de Ontology Hub.
Paso 4: Registrar evidencia read-only.</t>
  </si>
  <si>
    <t>INESData can reach and display Ontology Hub integration surfaces without mutating resources</t>
  </si>
  <si>
    <t>validation/ui/adapters/inesdata/specs/08-ontology-hub-inesdata-readonly.spec.ts</t>
  </si>
  <si>
    <t>Validación visual segura: solo lectura, no crea assets, vocabularios, contratos ni policies.</t>
  </si>
  <si>
    <t>DS-UI-AMH-01</t>
  </si>
  <si>
    <t>AI Model Hub HttpData discovery and negotiation from INESData UI</t>
  </si>
  <si>
    <t>integration UI componente-dataspace</t>
  </si>
  <si>
    <t>Model Provider / Model Consumer / QA</t>
  </si>
  <si>
    <t>- Provider y consumer INESData disponibles
- Endpoint de modelo representable como HttpData
- AI Model Hub desplegado cuando aplique</t>
  </si>
  <si>
    <t>Paso 1: Crear un asset de modelo HttpData en provider.
Paso 2: Abrir Catalog Browser desde consumer.
Paso 3: Localizar modelo y abrir detalle/ofertas.
Paso 4: Validar identificador y nombre controlado del modelo.
Paso 5: Negociar contrato desde la UI.
Paso 6: Confirmar por API que existe agreement del consumer.
Paso 7: Registrar evidencia visual y JSON.</t>
  </si>
  <si>
    <t>El modelo es visible como asset gobernado por INESData, expone metadatos controlados y el contrato queda negociado con agreement verificable.</t>
  </si>
  <si>
    <t>validation/ui/adapters/inesdata/specs/09-ai-model-hub-httpdata.spec.ts</t>
  </si>
  <si>
    <t>Level 6 habilita UI_AI_MODEL_HUB_HTTPDATA_DEMO por defecto. La inferencia real queda cubierta por los runners API de AI Model Hub; este flujo valida gobierno visual y contractual del modelo.</t>
  </si>
  <si>
    <t>DS-UI-AMH-OBS-01</t>
  </si>
  <si>
    <t>AI Model Observer home and evidence navigation from INESData UI</t>
  </si>
  <si>
    <t>non_functional / governance UI</t>
  </si>
  <si>
    <t>Model Consumer / QA</t>
  </si>
  <si>
    <t>- INESData connector interface expone AI Model Observer
- Public portal backend Observer está disponible o la spec realiza skip controlado para imágenes antiguas</t>
  </si>
  <si>
    <t>Paso 1: Abrir INESData consumer y autenticar.
Paso 2: Abrir AI Model Observer.
Paso 3: Validar cards Asset timeline, Agreement evidence, Benchmark evidence y Participant summary.
Paso 4: Navegar con identificadores controlados.</t>
  </si>
  <si>
    <t>The Observer UI is available from INESData and exposes the main evidence navigation routes</t>
  </si>
  <si>
    <t>validation/ui/adapters/inesdata/specs/10-ai-model-observer.spec.ts</t>
  </si>
  <si>
    <t>Automatizado / mapped / Level 6 dataspace</t>
  </si>
  <si>
    <t>Reconciliado 2026-05-18: la UI/API Observer existe en INESData sources; Level 6 incluye la spec 10 por defecto y solo hace skip controlado si se ejecuta contra imágenes antiguas.</t>
  </si>
  <si>
    <t>DS-UI-OPS-01</t>
  </si>
  <si>
    <t>MinIO bucket visibility from console</t>
  </si>
  <si>
    <t>operational</t>
  </si>
  <si>
    <t>- MinIO Console is reachable
- Provider and consumer buckets are available</t>
  </si>
  <si>
    <t>Paso 1: Abrir MinIO Console.
Paso 2: Inspeccionar buckets provider/consumer.
Paso 3: Confirmar objetos esperados.</t>
  </si>
  <si>
    <t>The MinIO Console exposes the expected buckets and objects for operational verification</t>
  </si>
  <si>
    <t>validation/ui/ops/minio-bucket-visibility.spec.ts</t>
  </si>
  <si>
    <t>Automatizado / Level 6 ops</t>
  </si>
  <si>
    <t>Validación operativa complementaria; no sustituye las pruebas funcionales de componentes.</t>
  </si>
  <si>
    <t>Ontology Hub - casos PT5</t>
  </si>
  <si>
    <t>Ontology Hub - 16 casos PT5 oficiales</t>
  </si>
  <si>
    <t>OH-LOGIN</t>
  </si>
  <si>
    <t>Authenticated access to the editing area</t>
  </si>
  <si>
    <t>QA</t>
  </si>
  <si>
    <t>- Ontology Hub is deployed and reachable
- Administrator credentials are available</t>
  </si>
  <si>
    <t>Paso 1: Open the login route for the editing area.
Paso 2: Enter valid administrator credentials.
Paso 3: Confirm that the editing interface becomes accessible.</t>
  </si>
  <si>
    <t>validation/components/ontology_hub/integration/specs/oh_login.spec.js</t>
  </si>
  <si>
    <t>automated</t>
  </si>
  <si>
    <t>Supporting check to ensure the authenticated flow required by editing scenarios is still operational.</t>
  </si>
  <si>
    <t>OH-LIST-SEARCH</t>
  </si>
  <si>
    <t>Public listing and opening of a search result</t>
  </si>
  <si>
    <t>- Ontology Hub is deployed and reachable
- At least one public vocabulary is visible</t>
  </si>
  <si>
    <t>Paso 1: Open the public catalog.
Paso 2: Search using a known listing term.
Paso 3: Open one of the visible results.</t>
  </si>
  <si>
    <t>The public catalog lists vocabularies and opens a search result</t>
  </si>
  <si>
    <t>validation/components/ontology_hub/integration/specs/oh_list_search.spec.js</t>
  </si>
  <si>
    <t>Supporting check to ensure the public catalog baseline navigation remains available.</t>
  </si>
  <si>
    <t>PT5-OH-01</t>
  </si>
  <si>
    <t>Create vocabulary entry</t>
  </si>
  <si>
    <t>- Ontology Hub is deployed and reachable
- A user with publication or ingestion permissions is available</t>
  </si>
  <si>
    <t>Paso 1: Register an ontology by URI or repository.
Paso 2: Verify that the ontology appears in the catalog.</t>
  </si>
  <si>
    <t>The ontology is registered and visible in the catalog</t>
  </si>
  <si>
    <t>validation/components/ontology_hub/integration/specs/pt5_oh_01_create_vocab.spec.js</t>
  </si>
  <si>
    <t>Baseline idempotente marcada 2026-05-07: passed</t>
  </si>
  <si>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</si>
  <si>
    <t>PT5-OH-02</t>
  </si>
  <si>
    <t>Edit vocabulary entry</t>
  </si>
  <si>
    <t>- A registered ontology already exists
- A user with editing permissions is available</t>
  </si>
  <si>
    <t>Paso 1: Modify the metadata of an existing ontology.
Paso 2: Query the ontology again.</t>
  </si>
  <si>
    <t>The changes are reflected correctly</t>
  </si>
  <si>
    <t>validation/components/ontology_hub/integration/specs/pt5_oh_02_edit_vocab.spec.js</t>
  </si>
  <si>
    <t>Baseline idempotente marcada 2026-05-07: failed</t>
  </si>
  <si>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</si>
  <si>
    <t>PT5-OH-03</t>
  </si>
  <si>
    <t>Delete vocabulary entry</t>
  </si>
  <si>
    <t>- A registered ontology already exists
- A user with delete permissions is available</t>
  </si>
  <si>
    <t>Paso 1: Delete a registered ontology.
Paso 2: Attempt to find it again in the catalog.</t>
  </si>
  <si>
    <t>The ontology is no longer available</t>
  </si>
  <si>
    <t>PT5-OH-04</t>
  </si>
  <si>
    <t>Tag management</t>
  </si>
  <si>
    <t>- A registered ontology already exists
- The system exposes tag management</t>
  </si>
  <si>
    <t>Paso 1: Create tags.
Paso 2: Edit existing tags.
Paso 3: Delete tags.</t>
  </si>
  <si>
    <t>Tags are managed as expected</t>
  </si>
  <si>
    <t>PT5-OH-05</t>
  </si>
  <si>
    <t>User and role management</t>
  </si>
  <si>
    <t>- The system exposes user and role management
- At least two differentiated profiles exist</t>
  </si>
  <si>
    <t>Paso 1: Create users.
Paso 2: Assign roles.
Paso 3: Validate access according to the assigned role.</t>
  </si>
  <si>
    <t>Visible options match the assigned role</t>
  </si>
  <si>
    <t>PT5-OH-06</t>
  </si>
  <si>
    <t>Action logging</t>
  </si>
  <si>
    <t>non_functional</t>
  </si>
  <si>
    <t>- The system exposes a functional auditing or logging mechanism</t>
  </si>
  <si>
    <t>Paso 1: Execute ontology operations.
Paso 2: Query the audit trail.</t>
  </si>
  <si>
    <t>Actions are recorded for auditing</t>
  </si>
  <si>
    <t>PT5-OH-07</t>
  </si>
  <si>
    <t>RDF / OWL compatibility</t>
  </si>
  <si>
    <t>interoperability</t>
  </si>
  <si>
    <t>- An RDF or OWL ontology is available to register</t>
  </si>
  <si>
    <t>Paso 1: Register an RDF or OWL ontology.
Paso 2: Validate the semantic compatibility of the resource.</t>
  </si>
  <si>
    <t>The ontology satisfies the semantic requirements</t>
  </si>
  <si>
    <t>Estado actualizado desde la baseline funcional marcada 2026-05-07 con trazabilidad OH-APP -&gt; PT5-OH.
Estado actualizado desde la baseline funcional idempotente marcada 2026-05-07.</t>
  </si>
  <si>
    <t>PT5-OH-08</t>
  </si>
  <si>
    <t>Vocabulary search</t>
  </si>
  <si>
    <t>- Ontology Hub is deployed and reachable
- The search API is available</t>
  </si>
  <si>
    <t>Paso 1: Execute a free-text search.
Paso 2: Validate the response returned by the API or UI.</t>
  </si>
  <si>
    <t>Search results are coherent with the query</t>
  </si>
  <si>
    <t>pt5_oh_08_term_search</t>
  </si>
  <si>
    <t>PT5-OH-09</t>
  </si>
  <si>
    <t>Vocabulary filtering</t>
  </si>
  <si>
    <t>- Visible facets or filters exist in the catalog</t>
  </si>
  <si>
    <t>Paso 1: Filter by metadata and tags.
Paso 2: Review the resulting set.</t>
  </si>
  <si>
    <t>Filtered results are correct</t>
  </si>
  <si>
    <t>validation/components/ontology_hub/integration/specs/pt5_oh_09_filters.spec.js</t>
  </si>
  <si>
    <t>PT5-OH-10</t>
  </si>
  <si>
    <t>Version selection</t>
  </si>
  <si>
    <t>- At least one ontology exists with multiple versions</t>
  </si>
  <si>
    <t>Paso 1: Open an ontology with multiple versions.
Paso 2: Select a specific version.</t>
  </si>
  <si>
    <t>The requested version is displayed</t>
  </si>
  <si>
    <t>validation/components/ontology_hub/integration/specs/pt5_oh_10_versions.spec.js</t>
  </si>
  <si>
    <t>PT5-OH-11</t>
  </si>
  <si>
    <t>Complete ontology visualization</t>
  </si>
  <si>
    <t>- An ontology detail page is accessible</t>
  </si>
  <si>
    <t>Paso 1: Open the detail page of an ontology.
Paso 2: Review metadata, code, and graphical elements.</t>
  </si>
  <si>
    <t>Metadata, code, and graphics are visible</t>
  </si>
  <si>
    <t>validation/components/ontology_hub/integration/specs/pt5_oh_11_vocab_detail.spec.js</t>
  </si>
  <si>
    <t>PT5-OH-12</t>
  </si>
  <si>
    <t>Ontology statistics</t>
  </si>
  <si>
    <t>- The detail page or catalog shows statistics or popularity</t>
  </si>
  <si>
    <t>Paso 1: Check statistics and popularity for an ontology.</t>
  </si>
  <si>
    <t>Metrics are visible as defined</t>
  </si>
  <si>
    <t>validation/components/ontology_hub/integration/specs/pt5_oh_12_statistics.spec.js</t>
  </si>
  <si>
    <t>PT5-OH-13</t>
  </si>
  <si>
    <t>SPARQL query</t>
  </si>
  <si>
    <t>- The instance exposes SPARQL access or a query page</t>
  </si>
  <si>
    <t>Paso 1: Execute a SPARQL query.
Paso 2: Validate the obtained response.</t>
  </si>
  <si>
    <t>The query returns valid results</t>
  </si>
  <si>
    <t>pt5_oh_13_sparql_access</t>
  </si>
  <si>
    <t>Baseline idempotente marcada 2026-05-07: skipped</t>
  </si>
  <si>
    <t>A real SPARQL query is executed against the public SPARQL endpoint using the class URI exposed by the current seeded search result.
Estado actualizado desde la baseline funcional marcada 2026-05-07 con trazabilidad OH-APP -&gt; PT5-OH.
Estado actualizado desde la baseline funcional idempotente marcada 2026-05-07.</t>
  </si>
  <si>
    <t>PT5-OH-14</t>
  </si>
  <si>
    <t>External service execution</t>
  </si>
  <si>
    <t>- External ontology services are deployed</t>
  </si>
  <si>
    <t>Paso 1: Execute an ontology service such as checker or patterns.
Paso 2: Review the functional result.</t>
  </si>
  <si>
    <t>The service executes correctly</t>
  </si>
  <si>
    <t>pt5_oh_14_patterns_access</t>
  </si>
  <si>
    <t>PT5-OH-15</t>
  </si>
  <si>
    <t>UI and API access</t>
  </si>
  <si>
    <t>- The instance exposes both UI and API documentation</t>
  </si>
  <si>
    <t>Paso 1: Access the equivalent functionality through the UI.
Paso 2: Access the equivalent functionality through the API.</t>
  </si>
  <si>
    <t>Functional parity between UI and API</t>
  </si>
  <si>
    <t>validation/components/ontology_hub/integration/specs/pt5_oh_15_ui_access.spec.js</t>
  </si>
  <si>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</si>
  <si>
    <t>PT5-OH-16</t>
  </si>
  <si>
    <t>Connector integration</t>
  </si>
  <si>
    <t>- Ontology Hub is deployed in the PT5 environment
- Dataspace connectors are available
- INESData runtime config includes ontologyUrl
- UI_ONTOLOGY_HUB_INESDATA_DEMO=1 is enabled</t>
  </si>
  <si>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</si>
  <si>
    <t>Operational integration with the dataspace is demonstrated through INESData UI and read-only API calls.</t>
  </si>
  <si>
    <t>validation/ui/adapters/inesdata/specs/08-ontology-hub-inesdata-readonly.spec.ts
Variable runtime: UI_ONTOLOGY_HUB_INESDATA_DEMO=1</t>
  </si>
  <si>
    <t>Integración INESData 2026-05-06: passed; baseline funcional idempotente 2026-05-07: skipped</t>
  </si>
  <si>
    <t>Current coverage is intentionally read-only to avoid breaking the deployed environment. It can be extended later to an HttpData asset/contract validación visual if required.
La cobertura de conexion con conector se mantiene passed por DS-UI-OH-01; el skip corresponde solo a la baseline funcional OH-APP.</t>
  </si>
  <si>
    <t>AI Model Hub - casos funcionales e integración</t>
  </si>
  <si>
    <t>AI Model Hub - casos PT5, dominio y benchmarking visual</t>
  </si>
  <si>
    <t>MH-BOOTSTRAP-01</t>
  </si>
  <si>
    <t>Dashboard shell availability</t>
  </si>
  <si>
    <t>- AI Model Hub base URL is known
- The dashboard is deployed and reachable</t>
  </si>
  <si>
    <t>Paso 1: Open the dashboard base URL.
Paso 2: Confirm that the application shell is returned.</t>
  </si>
  <si>
    <t>The dashboard shell is served successfully</t>
  </si>
  <si>
    <t>mh_bootstrap_01_shell</t>
  </si>
  <si>
    <t>Automatizado / Level 6 por defecto</t>
  </si>
  <si>
    <t>Soporte de disponibilidad del dashboard ejecutado antes de las suites funcionales.</t>
  </si>
  <si>
    <t>MH-BOOTSTRAP-02</t>
  </si>
  <si>
    <t>Runtime application configuration availability</t>
  </si>
  <si>
    <t>- AI Model Hub base URL is known
- The dashboard serves runtime configuration files</t>
  </si>
  <si>
    <t>Paso 1: Request the runtime application configuration.
Paso 2: Confirm that the payload exposes dashboard metadata.</t>
  </si>
  <si>
    <t>Runtime configuration is available and usable</t>
  </si>
  <si>
    <t>mh_bootstrap_02_runtime_config</t>
  </si>
  <si>
    <t>Soporte de configuración runtime ejecutado antes de las suites funcionales.</t>
  </si>
  <si>
    <t>PT5-MH-01</t>
  </si>
  <si>
    <t>Access to the model catalog</t>
  </si>
  <si>
    <t>- AI Model Hub is deployed and reachable
- At least one valid connector or catalog configuration exists</t>
  </si>
  <si>
    <t>Paso 1: Access the catalog from the component UI.
Paso 2: Confirm that the main catalog view becomes operational.</t>
  </si>
  <si>
    <t>The catalog loads correctly</t>
  </si>
  <si>
    <t>validation/components/ai_model_hub/ui/specs/pt5_mh_01_catalog_access.spec.js</t>
  </si>
  <si>
    <t>Automatizado parcial UI / Level 6 por defecto</t>
  </si>
  <si>
    <t>Cobertura UI parcial automatizada; valida acceso al catálogo y superficie principal.</t>
  </si>
  <si>
    <t>PT5-MH-02</t>
  </si>
  <si>
    <t>Model publication</t>
  </si>
  <si>
    <t>- A provider user with adequate permissions is available
- The model creation form is accessible</t>
  </si>
  <si>
    <t>Paso 1: Register a model with valid metadata.
Paso 2: Save the model in local state.</t>
  </si>
  <si>
    <t>The model is created in local state</t>
  </si>
  <si>
    <t>validation/components/ai_model_hub/ui/specs/pt5_mh_02_model_registration.spec.js</t>
  </si>
  <si>
    <t>Cobertura UI parcial automatizada; valida registro local de modelo sin depender de extensiones adicionales.</t>
  </si>
  <si>
    <t>PT5-MH-03</t>
  </si>
  <si>
    <t>- A local model has already been registered
- The connector federated catalog is available</t>
  </si>
  <si>
    <t>Paso 1: Publish the model into the federated catalog.
Paso 2: Check the external visibility of the model.</t>
  </si>
  <si>
    <t>The model is externally visible</t>
  </si>
  <si>
    <t>validation/components/ai_model_hub/ui/specs/pt5_mh_03_catalog_publication.spec.js</t>
  </si>
  <si>
    <t>Automatizado / Level 6 por defecto / passed histórico 2026-05-06</t>
  </si>
  <si>
    <t>Integración componente-dataspace validada con publicación visible mediante INESData.</t>
  </si>
  <si>
    <t>PT5-MH-04</t>
  </si>
  <si>
    <t>Model discovery</t>
  </si>
  <si>
    <t>- Published or visible models exist in the catalog</t>
  </si>
  <si>
    <t>Paso 1: Open the model catalog.
Paso 2: Check that the model list is displayed correctly.</t>
  </si>
  <si>
    <t>Models are listed correctly</t>
  </si>
  <si>
    <t>validation/components/ai_model_hub/ui/specs/pt5_mh_04_model_listing.spec.js</t>
  </si>
  <si>
    <t>Cobertura UI parcial para listado de modelos y readiness de descubrimiento.</t>
  </si>
  <si>
    <t>PT5-MH-05</t>
  </si>
  <si>
    <t>- Models are indexed in the catalog
- The global search bar is visible</t>
  </si>
  <si>
    <t>Paso 1: Search models using free text.
Paso 2: Review the returned result set.</t>
  </si>
  <si>
    <t>validation/components/ai_model_hub/ui/specs/pt5_mh_05_search.spec.js</t>
  </si>
  <si>
    <t>Cobertura UI parcial para búsqueda de modelos.</t>
  </si>
  <si>
    <t>PT5-MH-06</t>
  </si>
  <si>
    <t>- The catalog shows a filter panel
- Sufficient metadata exists to discriminate results</t>
  </si>
  <si>
    <t>Paso 1: Filter models by metadata.
Paso 2: Review the resulting set.</t>
  </si>
  <si>
    <t>Filters are applied correctly</t>
  </si>
  <si>
    <t>validation/components/ai_model_hub/ui/specs/pt5_mh_06_filters.spec.js</t>
  </si>
  <si>
    <t>Cobertura UI parcial para filtros y superficie de descubrimiento.</t>
  </si>
  <si>
    <t>PT5-MH-07</t>
  </si>
  <si>
    <t>- At least one model is visible in the catalog</t>
  </si>
  <si>
    <t>Paso 1: Open the detailed model page.
Paso 2: Review functional and technical metadata.</t>
  </si>
  <si>
    <t>Complete metadata is visible</t>
  </si>
  <si>
    <t>validation/components/ai_model_hub/ui/specs/pt5_mh_07_model_details.spec.js</t>
  </si>
  <si>
    <t>Cobertura UI/API parcial para detalle de modelo.</t>
  </si>
  <si>
    <t>PT5-MH-08</t>
  </si>
  <si>
    <t>Contracting and execution</t>
  </si>
  <si>
    <t>- A model with an available contract offer exists
- The connector contract cycle is operational</t>
  </si>
  <si>
    <t>Paso 1: Start the contract negotiation.
Paso 2: Finalize the negotiation from the consumer side.
Paso 3: Confirm the creation of the contract or related agreement.</t>
  </si>
  <si>
    <t>The contract is registered</t>
  </si>
  <si>
    <t>validation/components/ai_model_hub/ui/specs/pt5_mh_08_contract_negotiation.spec.js</t>
  </si>
  <si>
    <t>Contrato y negociación cubiertos por UI/API y por flujo INESData HttpData.</t>
  </si>
  <si>
    <t>PT5-MH-09</t>
  </si>
  <si>
    <t>- A valid agreement exists for the remote model
- The transfer mechanism is configured</t>
  </si>
  <si>
    <t>Paso 1: Request download or access to the model.
Paso 2: Validate the authorized transfer.</t>
  </si>
  <si>
    <t>Authorized transfer</t>
  </si>
  <si>
    <t>validation/components/ai_model_hub/connector_governance_api.py
Variable runtime: AI_MODEL_HUB_ENABLE_CONNECTOR_GOVERNANCE=1</t>
  </si>
  <si>
    <t>Connector governance API publica un endpoint HttpData temporal, negocia y solicita acceso autorizado.</t>
  </si>
  <si>
    <t>PT5-MH-10</t>
  </si>
  <si>
    <t>- A controlled executable model endpoint exists as HttpData
- For remote models, the corresponding contractual agreement is active</t>
  </si>
  <si>
    <t>Paso 1: Create a temporary HttpData asset for the executable endpoint.
Paso 2: Execute inference through /management/v3/modelexecutions/execute.
Paso 3: Validate the model response.
Paso 4: Delete the temporary asset.</t>
  </si>
  <si>
    <t>Response conforms to the model contract</t>
  </si>
  <si>
    <t>validation/components/ai_model_hub/model_execution_api.py</t>
  </si>
  <si>
    <t>Automatizado API smoke / Level 6 por defecto</t>
  </si>
  <si>
    <t>Ejecución de modelo cubierta por runner API sobre endpoint HttpData controlado.</t>
  </si>
  <si>
    <t>PT5-MH-11</t>
  </si>
  <si>
    <t>- Active agreements exist for consumable models</t>
  </si>
  <si>
    <t>Paso 1: List current agreements.
Paso 2: Select an active agreement to operate on the model.</t>
  </si>
  <si>
    <t>Only active agreements are available</t>
  </si>
  <si>
    <t>Lista y selecciona acuerdos activos tras negociación.</t>
  </si>
  <si>
    <t>PT5-MH-12</t>
  </si>
  <si>
    <t>Model comparison</t>
  </si>
  <si>
    <t>- Multiple comparable models exist
- The comparison module is accessible</t>
  </si>
  <si>
    <t>Paso 1: Abrir AI Model Hub en la ruta de Model Benchmarking.
Paso 2: Asegurar dos modelos FLARES comparables en el ámbito consumer.
Paso 3: Seleccionar los modelos FLARES Reliability Baseline A y Baseline B.
Paso 4: Confirmar que ambos quedan listos para benchmarking.
Paso 5: Ejecutar la comparativa y validar resultados.</t>
  </si>
  <si>
    <t>Models are selected correctly</t>
  </si>
  <si>
    <t>validation/components/ai_model_hub/ui/specs/pt5_mh_12_15_model_benchmarking_demo.spec.js
validation/components/ai_model_hub/model_benchmarking_api.py
Variable runtime: AI_MODEL_HUB_ENABLE_MODEL_BENCHMARKING=1</t>
  </si>
  <si>
    <t>Benchmarking cubierto por runner API y validación visual de dashboard.</t>
  </si>
  <si>
    <t>PT5-MH-13</t>
  </si>
  <si>
    <t>- Multiple comparable and executable models exist
- The same input can be sent to all of them</t>
  </si>
  <si>
    <t>Paso 1: Cargar el dataset FLARES benchmark.
Paso 2: Mantener inputPath=input, expectedPath=expected_label y predictionPath=result.label.
Paso 3: Click en Run Benchmark.
Paso 4: Verificar que ambos modelos se ejecutan sobre los mismos inputs.</t>
  </si>
  <si>
    <t>Executions are comparable</t>
  </si>
  <si>
    <t>Ejecución comparativa controlada y evidencia por modelo.</t>
  </si>
  <si>
    <t>PT5-MH-14</t>
  </si>
  <si>
    <t>- The comparison module produces aggregated metrics</t>
  </si>
  <si>
    <t>Paso 1: Ejecutar el benchmark visual.
Paso 2: Esperar a que aparezca Benchmark completed.
Paso 3: Comprobar columnas Success %, Avg ms, P95 ms, Req/s, Accuracy % y Score.
Paso 4: Comparar que hay ranking y best model calculado.</t>
  </si>
  <si>
    <t>Metrics are coherent with the task</t>
  </si>
  <si>
    <t>Métricas, ranking y coherencia de benchmarking automatizadas.</t>
  </si>
  <si>
    <t>PT5-MH-15</t>
  </si>
  <si>
    <t>- Comparison metrics have already been calculated</t>
  </si>
  <si>
    <t>Paso 1: Abrir la sección Benchmark Results.
Paso 2: Verificar la tarjeta Best Model.
Paso 3: Verificar que la tabla contiene los dos modelos FLARES.
Paso 4: Conservar screenshot, video y JSON de la validación visual.</t>
  </si>
  <si>
    <t>Comparative results are visible</t>
  </si>
  <si>
    <t>Visualización de resultados y series renderizables automatizada.</t>
  </si>
  <si>
    <t>PT5-MH-16</t>
  </si>
  <si>
    <t>Security and identity</t>
  </si>
  <si>
    <t>- A working OIDC/OAuth2 integration exists in the final environment</t>
  </si>
  <si>
    <t>Paso 1: Access the API with OIDC.
Paso 2: Validate access control and authorization.</t>
  </si>
  <si>
    <t>Access is authenticated correctly</t>
  </si>
  <si>
    <t>OIDC de conectores cubierto por connector_governance_api.py sin exponer tokens en evidencia.</t>
  </si>
  <si>
    <t>PT5-MH-17</t>
  </si>
  <si>
    <t>Traceability and auditing</t>
  </si>
  <si>
    <t>- The system exposes verifiable operational traceability</t>
  </si>
  <si>
    <t>Paso 1: Execute relevant operations on the component.
Paso 2: Review the traceability record or evidence.</t>
  </si>
  <si>
    <t>Operations are recorded</t>
  </si>
  <si>
    <t>Trazabilidad no secreta cubierta por connector governance y Observer/Clearing House.</t>
  </si>
  <si>
    <t>PT5-MH-18</t>
  </si>
  <si>
    <t>Dataspace integration</t>
  </si>
  <si>
    <t>- The component is integrated with EDC APIs and the PT5 environment connectors</t>
  </si>
  <si>
    <t>Paso 1: Consume connector APIs from the component.
Paso 2: Validate the end-to-end behavior.</t>
  </si>
  <si>
    <t>Functional integration</t>
  </si>
  <si>
    <t>Consumo end-to-end de APIs provider/consumer desde el flujo AI Model Hub.</t>
  </si>
  <si>
    <t>MH-LING-01</t>
  </si>
  <si>
    <t>Linguistic domain use case with FLARES</t>
  </si>
  <si>
    <t>- AI Model Hub, provider connector and consumer connector are deployed
- FLARES source repository was synchronized by Level 5</t>
  </si>
  <si>
    <t>Paso 1: Publish FLARES on demand as a provider dataset asset.
Paso 2: Discover the published dataset from the consumer catalog.
Paso 3: Negotiate the corresponding contract agreement from the consumer side.
Paso 4: Prepare the linguistic benchmarking flow.
Paso 5: Execute a FLARES payload through the connector-side model execution API.</t>
  </si>
  <si>
    <t>FLARES can populate the dataspace on demand, reach a negotiated agreement, prepare the linguistic benchmarking flow and execute a FLARES payload through the connector API without requiring global seeding.</t>
  </si>
  <si>
    <t>validation/components/ai_model_hub/functional/specs/mh_ling_01_flares_reliability.spec.js
validation/components/ai_model_hub/model_execution_api.py --flares-dataset</t>
  </si>
  <si>
    <t>Parcial automatizado / Level 6 por defecto</t>
  </si>
  <si>
    <t>Slice lingüístico actual mantiene evidencia reproducible; ampliar con nuevos flujos si el componente expone más funcionalidades.</t>
  </si>
  <si>
    <t>MH-MOB-01</t>
  </si>
  <si>
    <t>Mobility domain use case with GTFS-Madrid-Bench</t>
  </si>
  <si>
    <t>- GTFS-Madrid-Bench source repository was synchronized by Level 5
- At least two controlled mobility benchmark models are selected by the suite</t>
  </si>
  <si>
    <t>Paso 1: Cargar metadata, schema, sample y expected_outputs derivados de GTFS-Madrid-Bench.
Paso 2: Validar join keys GTFS-like para stops, routes, trips y stop_times.
Paso 3: Construir filas deterministas desde el repositorio oficial sincronizado.
Paso 4: Ejecutar benchmarking de movilidad y registrar métricas.</t>
  </si>
  <si>
    <t>GTFS-Madrid-Bench produce evidencia reproducible de benchmarking de movilidad con joins validados, rutas/duraciones esperadas y métricas ranqueadas por modelo.</t>
  </si>
  <si>
    <t>validation/components/ai_model_hub/mobility_benchmarking_api.py
AI_MODEL_HUB_ENABLE_MOBILITY_BENCHMARKING=1
validation/components/ai_model_hub/virtualization_traceability.py
tests/test_ai_model_hub_mobility_benchmarking_api.py
tests/test_ai_model_hub_gtfs_fixture.py</t>
  </si>
  <si>
    <t>Benchmark de movilidad reproducible con dataset trazable; se evita mutar repos locales.</t>
  </si>
  <si>
    <t>AI Model Hub HttpData model discovery and negotiation from INESData UI</t>
  </si>
  <si>
    <t>Provider / Consumer / QA / Validación</t>
  </si>
  <si>
    <t>- INESData provider and consumer connectors are reachable
- A controlled model endpoint can be represented as HttpData
- The connector contract cycle is operational</t>
  </si>
  <si>
    <t>Paso 1: Bootstrap de un asset provider cuya dirección HttpData representa un endpoint de AI Model Hub.
Paso 2: Abrir Catalog Browser desde la UI INESData del consumer.
Paso 3: Localizar el asset de modelo de AI Model Hub.
Paso 4: Abrir detalle y validar metadatos controlados.
Paso 5: Abrir Contract Offers y negociar acceso desde la UI.
Paso 6: Confirmar por API que el conector consumidor registra un agreement para el asset.</t>
  </si>
  <si>
    <t>El asset HttpData del modelo de AI Model Hub es visible desde la UI del consumidor, expone metadatos controlados y produce un agreement del consumidor tras la negociación.</t>
  </si>
  <si>
    <t>Automatizado / Level 6 UI dataspace / passed histórico 2026-05-06</t>
  </si>
  <si>
    <t>Level 6 incluye la spec 09 por defecto. Cubre descubrimiento, metadatos visibles, negociación visual y verificación API del agreement para el modelo como asset HttpData.</t>
  </si>
  <si>
    <t>MH-OBS-01</t>
  </si>
  <si>
    <t>AI Model Observer home y navegacion base</t>
  </si>
  <si>
    <t>functional UI / audit support</t>
  </si>
  <si>
    <t>- INESData desplegado
- AI Model Observer integrado en el conector
- Credenciales validas disponibles</t>
  </si>
  <si>
    <t>Paso 1: Iniciar sesión en INESData.
Paso 2: Abrir AI Model Observer.
Paso 3: Verificar las tarjetas Asset timeline, Agreement evidence, Benchmark evidence y Participant summary.
Paso 4: Introducir IDs controlados y confirmar navegacion a las rutas esperadas.</t>
  </si>
  <si>
    <t>La UI del Observer carga y permite navegar hacia las vistas principales sin errores.</t>
  </si>
  <si>
    <t>validation/ui/adapters/inesdata/specs/10-ai-model-observer.spec.ts
Variable runtime: UI_AI_MODEL_OBSERVER_DEMO=1
Marcadores: PLAYWRIGHT_INTERACTION_MARKERS=1</t>
  </si>
  <si>
    <t>Automatizado / mapped / Level 6 UI dataspace</t>
  </si>
  <si>
    <t>Entregable E5.1 de validación
Entregable técnico de AI Model Hub
Estrategia de validación del Observer</t>
  </si>
  <si>
    <t>Reconciliado 2026-05-18: la UI Observer existe en INESData sources; la spec 10 se ejecuta por defecto y mantiene skip controlado solo para imágenes antiguas.</t>
  </si>
  <si>
    <t>MH-OBS-02</t>
  </si>
  <si>
    <t>Journal API registra y consulta eventos controlados</t>
  </si>
  <si>
    <t>AI Model Hub + Model Observer API</t>
  </si>
  <si>
    <t>api / integration</t>
  </si>
  <si>
    <t>- Backend del public portal con endpoints model-observer disponibles
- Evento QA controlado sin datos sensibles</t>
  </si>
  <si>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</si>
  <si>
    <t>Los eventos controlados quedan persistidos y son recuperables por asset, agreement, benchmark y participante.</t>
  </si>
  <si>
    <t>validation/components/ai_model_hub/model_observer_api.py
Variable runtime: AI_MODEL_HUB_ENABLE_MODEL_OBSERVER=1
Configuración opcional: AI_MODEL_HUB_OBSERVER_API_BASE_URL=&lt;backend-url&gt;</t>
  </si>
  <si>
    <t>Automatizado / mapped / Level 6 por defecto</t>
  </si>
  <si>
    <t>Reconciliado 2026-05-18: el runner API resuelve el backend Observer desde la configuración activa del despliegue y valida eventos QA controlados sin payloads sensibles.</t>
  </si>
  <si>
    <t>MH-OBS-03</t>
  </si>
  <si>
    <t>Browser deja evidencia de descubrimiento o detalle</t>
  </si>
  <si>
    <t>AI Model Browser + AI Model Observer</t>
  </si>
  <si>
    <t>integration UI/API</t>
  </si>
  <si>
    <t>- Al menos un modelo visible en AI Model Browser
- Observer integrado y con timeline consultable</t>
  </si>
  <si>
    <t>Paso 1: Abrir AI Model Browser.
Paso 2: Buscar o abrir un modelo controlado.
Paso 3: Abrir el timeline del asset en Observer.
Paso 4: Verificar evento MODEL_DETAIL_VIEWED o equivalente.</t>
  </si>
  <si>
    <t>La acción de descubrimiento/detalle queda visible como evidencia consultable en Observer.</t>
  </si>
  <si>
    <t>validation/ui/adapters/inesdata/specs/11-ai-model-browser.spec.ts
validation/components/ai_model_hub/model_observer_api.py</t>
  </si>
  <si>
    <t>Automatizado parcial / mapped / Level 6 dataspace</t>
  </si>
  <si>
    <t>El Browser registra evidencia observable cuando el backend Observer está disponible; si no, deja subcheck controlado sin bloquear el resto de Level 6.</t>
  </si>
  <si>
    <t>MH-OBS-04</t>
  </si>
  <si>
    <t>Execution deja evidencia de ejecución</t>
  </si>
  <si>
    <t>AI Model Execution + AI Model Observer</t>
  </si>
  <si>
    <t>integration API/UI</t>
  </si>
  <si>
    <t>- Flujo de ejecución de modelo disponible
- correlationId y assetId recuperables
- Agreement disponible si el modelo es federado</t>
  </si>
  <si>
    <t>Paso 1: Ejecutar un modelo local o federado con el flujo ya automatizado.
Paso 2: Capturar assetId, correlationId y agreementId cuando aplique.
Paso 3: Consultar el timeline del asset.
Paso 4: Verificar eventos MODEL_EXECUTION_REQUESTED y MODEL_EXECUTION_COMPLETED o FAILED.</t>
  </si>
  <si>
    <t>La ejecución queda registrada con estado, correlacion y acuerdo cuando aplique.</t>
  </si>
  <si>
    <t>validation/ui/adapters/inesdata/specs/12-ai-model-execution.spec.ts
validation/ui/adapters/inesdata/specs/15-ai-model-external-execution.spec.ts
validation/components/ai_model_hub/model_execution_api.py</t>
  </si>
  <si>
    <t>Automatizado parcial / mapped / Level 6 por defecto</t>
  </si>
  <si>
    <t>La ejecución local y externa genera correlationId/evidencia cuando Observer está disponible; la inferencia real queda cubierta por runner API HttpData.</t>
  </si>
  <si>
    <t>MH-OBS-05</t>
  </si>
  <si>
    <t>Benchmark deja evidencia y resumen</t>
  </si>
  <si>
    <t>AI Model Benchmark + AI Model Observer</t>
  </si>
  <si>
    <t>- validación visual de benchmarking PT5-MH-12..15 disponible
- benchmarkRunId generado o sembrado de forma controlada</t>
  </si>
  <si>
    <t>Paso 1: Ejecutar la validación visual de benchmarking.
Paso 2: Capturar benchmarkRunId.
Paso 3: Abrir /ai-model-observer/benchmarks/:benchmarkRunId.
Paso 4: Verificar modelos comparados, métricas agregadas y resumen.</t>
  </si>
  <si>
    <t>El benchmark queda registrado con metadatos, métricas agregadas y resumen consultable.</t>
  </si>
  <si>
    <t>validation/ui/adapters/inesdata/specs/13-ai-model-benchmarking.spec.ts
validation/components/ai_model_hub/model_benchmarking_api.py</t>
  </si>
  <si>
    <t>El benchmarking registra benchmarkRunId/evidencia cuando el Observer está disponible; conserva subcheck controlado si el backend no expone la ruta.</t>
  </si>
  <si>
    <t>MH-OBS-06</t>
  </si>
  <si>
    <t>Resumen de participante en Observer</t>
  </si>
  <si>
    <t>AI Model Observer</t>
  </si>
  <si>
    <t>api / UI audit support</t>
  </si>
  <si>
    <t>QA / Validación / Operador</t>
  </si>
  <si>
    <t>- Eventos QA o reales asociados a un participantId
- Endpoint summary disponible</t>
  </si>
  <si>
    <t>Paso 1: Producir o sembrar eventos QA de provider/consumer.
Paso 2: Consultar /api/model-observer/participants/:participantId/summary.
Paso 3: Abrir la vista Participant summary.
Paso 4: Verificar totales por tipo de evento, fallos recientes y ultimos eventos.</t>
  </si>
  <si>
    <t>El QA / Validación puede revisar actividad agregada por participante sin inspeccionar logs internos.</t>
  </si>
  <si>
    <t>validation/ui/adapters/inesdata/specs/16-ai-model-observer-participant-summary.spec.ts
validation/components/ai_model_hub/model_observer_api.py</t>
  </si>
  <si>
    <t>El resumen de participante queda cubierto por UI y API con eventos QA controlados, hashes y contadores sin payloads sensibles.</t>
  </si>
  <si>
    <t>Semantic Virtualization - casos funcionales e integración</t>
  </si>
  <si>
    <t>Semantic Virtualization - cobertura técnica con margen conservador QA</t>
  </si>
  <si>
    <t>SV-BOOTSTRAP-01</t>
  </si>
  <si>
    <t>Servicio de virtualización semántica accesible</t>
  </si>
  <si>
    <t>- Servicio de virtualización desplegado
- URL base del servicio conocida por el framework</t>
  </si>
  <si>
    <t>Paso 1: Ingresar o consultar la URL raíz del servicio de virtualización.
Paso 2: Verificar que responde correctamente.
Paso 3: Registrar el resultado como evidencia de disponibilidad.</t>
  </si>
  <si>
    <t>The service root responds successfully</t>
  </si>
  <si>
    <t>validation/components/semantic_virtualization/runner.py</t>
  </si>
  <si>
    <t>Automatizado / revisado: disponibilidad del servicio</t>
  </si>
  <si>
    <t>Ejecución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</si>
  <si>
    <t>SV-UI-02</t>
  </si>
  <si>
    <t>Documento OpenAPI del virtualizador visible desde navegador</t>
  </si>
  <si>
    <t>- Servicio de virtualizacion desplegado
- URL base del servicio conocida por el framework</t>
  </si>
  <si>
    <t>Paso 1: Abrir la ruta de capacidades/OpenAPI del virtualizador.
Paso 2: Verificar respuesta HTTP 200.
Paso 3: Confirmar que el contenido expone metadatos OpenAPI.</t>
  </si>
  <si>
    <t>El documento OpenAPI responde correctamente y es legible desde navegador.</t>
  </si>
  <si>
    <t>validation/components/semantic_virtualization/ui/specs/sv_ui_01_browser_reachability.spec.js</t>
  </si>
  <si>
    <t>Automatizado / revisado: capacidades OpenAPI visibles</t>
  </si>
  <si>
    <t>Computado como parte de la primera suite UI revisada del virtualizador: 8/8 passed.</t>
  </si>
  <si>
    <t>PT5-VS-01</t>
  </si>
  <si>
    <t>Configurar mappings RML/R2RML sobre distintas fuentes</t>
  </si>
  <si>
    <t>- Fixtures CSV, JSON y relacionales disponibles
- Mappings RML/R2RML de ejemplo versionados en el framework</t>
  </si>
  <si>
    <t>Paso 1: Cargar fixtures de paradas CSV, rutas JSON y esquema relacional.
Paso 2: Cargar mappings RML/R2RML asociados a esas fuentes.
Paso 3: Ejecutar la validación offline de mappings.
Paso 4: Confirmar que cada mapping queda reconocido como válido.</t>
  </si>
  <si>
    <t>A mapping can be configured against representative input sources</t>
  </si>
  <si>
    <t>validation/components/semantic_virtualization/mapping_validation.py</t>
  </si>
  <si>
    <t>Automatizado / revisado: mappings RML/R2RML</t>
  </si>
  <si>
    <t>Reconciliado 2026-05-18: el catálogo YAML marca coverage_status=automated y mapping_status=mapped; Level 6 ejecuta validation/components/semantic_virtualization/mapping_validation.py por defecto.</t>
  </si>
  <si>
    <t>PT5-VS-02</t>
  </si>
  <si>
    <t>Ejecutar consultas SPARQL sobre datos virtualizados</t>
  </si>
  <si>
    <t>- Endpoint SPARQL del virtualizador accesible
- Datos/mappings de prueba cargados o simulados por la suite</t>
  </si>
  <si>
    <t>Paso 1: Enviar una consulta SPARQL simple al endpoint del virtualizador.
Paso 2: Esperar la respuesta HTTP del servicio.
Paso 3: Verificar que la respuesta contiene resultados o una estructura SPARQL válida.</t>
  </si>
  <si>
    <t>The SPARQL endpoint returns a successful query response</t>
  </si>
  <si>
    <t>Automatizado / revisado: endpoint de consulta accesible</t>
  </si>
  <si>
    <t>Ejecución con evidencias verificables 2026-05-06: 8/8 Playwright passed con PLAYWRIGHT_INTERACTION_MARKERS=1; incluye screenshots, videos, trazas, reporte Playwright y dashboard local.
No computado como automatizado en 00_Resumen hasta completar la revisión de la suite.
Estado registrado previamente: Automatizado
Ejecución UI marcada passed 2026-05-06
Computado en 00_Resumen como parte de la primera suite UI revisada del virtualizador: 8/8 passed. Este registro cubre el check SV-UI-03 de endpoint de consulta.</t>
  </si>
  <si>
    <t>PT5-VS-03</t>
  </si>
  <si>
    <t>Ejecutar consulta SPARQL combinando múltiples fuentes</t>
  </si>
  <si>
    <t>- Fuentes representativas de rutas y paradas disponibles
- Mapping multisource preparado</t>
  </si>
  <si>
    <t>Paso 1: Preparar la consulta que combina rutas y paradas.
Paso 2: Ejecutar la consulta sobre los fixtures multisource.
Paso 3: Comparar el resultado con la salida esperada.
Paso 4: Guardar la evidencia del resultado combinado.</t>
  </si>
  <si>
    <t>A multisource query returns a coherent combined result</t>
  </si>
  <si>
    <t>Automatizado / revisado: consulta multisource</t>
  </si>
  <si>
    <t>Reconciliado 2026-05-18: el catálogo YAML marca coverage_status=automated y mapping_status=mapped; la evidencia se genera mediante mapping_validation.py.</t>
  </si>
  <si>
    <t>PT5-VS-04</t>
  </si>
  <si>
    <t>Ejecutar consultas complejas sobre datos virtualizados</t>
  </si>
  <si>
    <t>- Grafo virtualizado esperado disponible
- Consulta SPARQL compleja versionada en fixtures</t>
  </si>
  <si>
    <t>Paso 1: Cargar la consulta SPARQL compleja versionada.
Paso 2: Ejecutarla contra el grafo virtualizado esperado.
Paso 3: Validar filtros, ordenación y forma de la respuesta.
Paso 4: Confirmar que la consulta termina sin errores.</t>
  </si>
  <si>
    <t>A representative complex query completes and returns the expected shape</t>
  </si>
  <si>
    <t>Automatizado / revisado: consulta compleja</t>
  </si>
  <si>
    <t>Reconciliado 2026-05-18: el catálogo YAML marca coverage_status=automated y mapping_status=mapped; la suite valida forma, filtros y resultado esperado.</t>
  </si>
  <si>
    <t>PT5-VS-05</t>
  </si>
  <si>
    <t>Validar mappings antes de ejecución</t>
  </si>
  <si>
    <t>- Mapping válido y mapping inválido controlado disponibles
- Validador de mappings ejecutable</t>
  </si>
  <si>
    <t>Paso 1: Ejecutar la validación sobre un mapping correcto.
Paso 2: Ejecutar la validación sobre un mapping inválido controlado.
Paso 3: Verificar que el mapping válido pasa.
Paso 4: Verificar que el mapping inválido falla con diagnóstico entendible.</t>
  </si>
  <si>
    <t>Invalid mappings are rejected with actionable diagnostics</t>
  </si>
  <si>
    <t>Automatizado / revisado: validación de mappings</t>
  </si>
  <si>
    <t>Reconciliado 2026-05-18: el catálogo YAML marca coverage_status=automated y mapping_status=mapped; la suite comprueba mapping válido e inválido controlado.</t>
  </si>
  <si>
    <t>PT5-VS-06</t>
  </si>
  <si>
    <t>Definir mappings usando fuentes y ontologías cargadas</t>
  </si>
  <si>
    <t>- Ontología de movilidad controlada disponible como fixture
- Fuentes de datos y términos semánticos disponibles</t>
  </si>
  <si>
    <t>Paso 1: Cargar fuente de datos y ontología de movilidad controlada.
Paso 2: Ejecutar el mapping que referencia términos de la ontología.
Paso 3: Verificar que la salida usa los términos semánticos esperados.</t>
  </si>
  <si>
    <t>A mapping can reference both source data and ontology terms</t>
  </si>
  <si>
    <t>Automatizado / revisado: mappings con fuentes y ontologías</t>
  </si>
  <si>
    <t>Reconciliado 2026-05-18: el catálogo YAML marca coverage_status=automated y mapping_status=mapped; se mantiene como fixture de validación del componente, no como dataset reducido de dominio.</t>
  </si>
  <si>
    <t>PT5-VS-07</t>
  </si>
  <si>
    <t>Generar representación gráfica del mapeo</t>
  </si>
  <si>
    <t>- mapping-editor habilitado por la validación del componente
- UI del editor accesible en el puerto configurado</t>
  </si>
  <si>
    <t>Paso 1: Ingresar al URL del mapping-editor.
Paso 2: Abrir o cargar un mapping de ejemplo.
Paso 3: Verificar que la interfaz muestra nodos, relaciones o representación gráfica del mapeo.
Paso 4: Capturar evidencia visual para validación visual.</t>
  </si>
  <si>
    <t>The editor exposes a visual mapping representation</t>
  </si>
  <si>
    <t>validation/components/semantic_virtualization/ui/specs/sv_ui_02_mapping_editor.spec.js</t>
  </si>
  <si>
    <t>Automatizado / revisado: mapping-editor accesible</t>
  </si>
  <si>
    <t>Reconciliado 2026-05-18: la UI del mapping-editor se ejecuta en Level 6 dentro de la suite del componente; Kafka es el único bloque que requiere activación explícita por coste temporal. Evidencia previa: 8/8 Playwright passed con marcadores visuales.</t>
  </si>
  <si>
    <t>PT5-VS-08</t>
  </si>
  <si>
    <t>Ejecutar mappings desde el editor</t>
  </si>
  <si>
    <t>- mapping-editor habilitado por la validación del componente
- Mapping de ejemplo cargado en la UI</t>
  </si>
  <si>
    <t>Paso 1: Ingresar al mapping-editor.
Paso 2: Seleccionar o cargar un mapping de ejemplo.
Paso 3: Click en la opción de ejecutar/materializar el mapping.
Paso 4: Verificar que la UI muestra salida o confirmación de ejecución.</t>
  </si>
  <si>
    <t>The editor can laúnch a mapping execution flow</t>
  </si>
  <si>
    <t>Automatizado / revisado: entrada de ejecución visible</t>
  </si>
  <si>
    <t>Reconciliado 2026-05-18: la entrada de ejecución/materialización del editor está automatizada en la suite UI del componente y se ejecuta por defecto cuando el componente está configurado.</t>
  </si>
  <si>
    <t>PT5-VS-09</t>
  </si>
  <si>
    <t>Exportar mappings en formatos estándar</t>
  </si>
  <si>
    <t>- Mapping generado o fixture de mapping disponible
- Parser RDF/Turtle disponible en la validación</t>
  </si>
  <si>
    <t>Paso 1: Tomar el mapping validado por la suite.
Paso 2: Exportarlo o leerlo en formato RML/R2RML Turtle.
Paso 3: Parsear el archivo exportado.
Paso 4: Confirmar que el artefacto es estándar y reutilizable.</t>
  </si>
  <si>
    <t>A mapping can be exported as a standard RML/R2RML artifact</t>
  </si>
  <si>
    <t>Automatizado / revisado: exportación RML/R2RML</t>
  </si>
  <si>
    <t>Reconciliado 2026-05-18: el catálogo YAML marca coverage_status=automated y mapping_status=mapped; la suite parsea el artefacto exportable como RML/R2RML Turtle.</t>
  </si>
  <si>
    <t>PT5-VS-10</t>
  </si>
  <si>
    <t>Evaluar métodos de generación de mappings</t>
  </si>
  <si>
    <t>- Métodos manual/asistido por plantilla definidos
- Criterios de scoring reproducibles disponibles</t>
  </si>
  <si>
    <t>Paso 1: Cargar los métodos de generación definidos para la comparación.
Paso 2: Ejecutar el scoring sobre mappings manuales y asistidos.
Paso 3: Comparar completitud, validez y reproducibilidad.
Paso 4: Guardar el resultado de evaluación.</t>
  </si>
  <si>
    <t>Mapping generation methods are compared using reproducible fixtures</t>
  </si>
  <si>
    <t>Automatizado / revisado: evaluación de métodos</t>
  </si>
  <si>
    <t>Reconciliado 2026-05-18: el catálogo YAML marca coverage_status=automated y mapping_status=mapped; la suite compara métodos con criterios reproducibles.</t>
  </si>
  <si>
    <t>PT5-VS-11</t>
  </si>
  <si>
    <t>Desplegar motor y acceder vía conector INESData</t>
  </si>
  <si>
    <t>- Conectores provider/consumer de INESData accesibles
- Endpoint HttpData del virtualizador alcanzable desde los pods del conector</t>
  </si>
  <si>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</si>
  <si>
    <t>The virtualized output is exposed as HttpData and negotiable from INESData</t>
  </si>
  <si>
    <t>validation/ui/adapters/inesdata/specs/07-semantic-virtualization-httpdata.spec.ts
validation/components/semantic_virtualization/dataspace_integration.py</t>
  </si>
  <si>
    <t>Automatizado / revisado: integración INESData HttpData</t>
  </si>
  <si>
    <t>Reconciliado 2026-05-18: DS-UI-SV-01 confirma desde UI de INESData que el motor virtualizado se publica como HttpData, se descubre y se negocia. La ruta Playwright actual es validation/ui/adapters/inesdata/specs/07-semantic-virtualization-httpdata.spec.ts.</t>
  </si>
  <si>
    <t>PT5-VS-12</t>
  </si>
  <si>
    <t>Provocar errores controlados en consultas o mappings</t>
  </si>
  <si>
    <t>- Endpoint SPARQL accesible
- Consulta inválida controlada preparada por la suite</t>
  </si>
  <si>
    <t>Paso 1: Enviar una consulta SPARQL inválida o un mapping inválido controlado.
Paso 2: Esperar respuesta del servicio o validador.
Paso 3: Verificar que el error es controlado, sin caída del servicio.
Paso 4: Guardar el diagnóstico como evidencia.</t>
  </si>
  <si>
    <t>Invalid SPARQL input returns a controlled HTTP 4xx diagnostic response</t>
  </si>
  <si>
    <t>Automatizado / revisado: errores controlados</t>
  </si>
  <si>
    <t>Reconciliado 2026-05-18: el catálogo YAML marca coverage_status=automated y mapping_status=mapped; runner.py valida respuesta HTTP 4xx controlada ante consulta inválida.</t>
  </si>
  <si>
    <t>SV-UI-04</t>
  </si>
  <si>
    <t>Explorar paneles de ontologías en el mapping-editor</t>
  </si>
  <si>
    <t>functional UI validación visual</t>
  </si>
  <si>
    <t>- mapping-editor habilitado por la validación del componente
- UI del editor accesible</t>
  </si>
  <si>
    <t>Paso 1: Ingresar al URL del mapping-editor.
Paso 2: Click en "Ontologies" en el menu lateral.
Paso 3: Verificar que aparecen los paneles "Import Ontology", "Explore Ontology", "View Ontology" y "Custom Terms".
Paso 4: Capturar evidencia visual y JSON del estado.</t>
  </si>
  <si>
    <t>La UI muestra el flujo de carga, exploracion y visualizacion de ontologías documentado en E3.1.</t>
  </si>
  <si>
    <t>validation/components/semantic_virtualization/ui/specs/sv_ui_02_mapping_editor.spec.js
Variable runtime: SEMANTIC_VIRTUALIZATION_MAPPING_EDITOR_UI=1</t>
  </si>
  <si>
    <t>Automatizado / revisado: paneles de ontologías visibles</t>
  </si>
  <si>
    <t>Entregable técnico de Semantic Virtualization</t>
  </si>
  <si>
    <t>Reconciliado 2026-05-18: flujo UI automatizado como soporte funcional de PT5-VS-06/PT5-VS-07; evidencia previa con marcadores visuales Playwright.</t>
  </si>
  <si>
    <t>SV-UI-05</t>
  </si>
  <si>
    <t>Crear mapping temporal y abrir authoring de TriplesMap</t>
  </si>
  <si>
    <t>- mapping-editor habilitado por la validación del componente
- Sesión Streamlit nueva para la prueba</t>
  </si>
  <si>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</si>
  <si>
    <t>La UI permite iniciar un mapping y entrar al flujo de construccion sin crear recursos en el conector ni en Kubernetes.</t>
  </si>
  <si>
    <t>Automatizado / revisado: authoring no destructivo</t>
  </si>
  <si>
    <t>Reconciliado 2026-05-18: flujo UI automatizado como soporte funcional de PT5-VS-01, PT5-VS-05 y PT5-VS-06; la mutación queda limitada a la sesión del navegador.</t>
  </si>
  <si>
    <t>SV-UI-06</t>
  </si>
  <si>
    <t>Revisar checkpoints de exportacion y materializacion</t>
  </si>
  <si>
    <t>- mapping-editor habilitado por la validación del componente
- Mapping temporal creado en sesión</t>
  </si>
  <si>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</si>
  <si>
    <t>La UI expone checkpoints de exportacion de mappings y materializacion de grafos, con precondiciones controladas.</t>
  </si>
  <si>
    <t>Automatizado / revisado: exportacion/materializacion visibles</t>
  </si>
  <si>
    <t>Reconciliado 2026-05-18: flujo UI automatizado como soporte funcional de PT5-VS-08 y PT5-VS-09; no requiere ejecutar Morph-KGC si no hay fuentes configuradas.</t>
  </si>
  <si>
    <t>SV-UI-07</t>
  </si>
  <si>
    <t>Configurar namespace y exportar mapping desde el editor</t>
  </si>
  <si>
    <t>- mapping-editor habilitado por la validación del componente
- UI del editor accesible
- Sesión Streamlit nueva para la prueba</t>
  </si>
  <si>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</si>
  <si>
    <t>La UI permite crear un mapping temporal, asociar un namespace custom, exponer la exportacion del mapping y mostrar controles de estilo sin mutar INESData ni Kubernetes.</t>
  </si>
  <si>
    <t>Automatizado / revisado: namespace y exportación desde editor</t>
  </si>
  <si>
    <t>Reconciliado 2026-05-18: SV-UI-07 está catalogado como automated/mapped y la evidencia visual se generó en 2026-05-07; Level 6 lo incorpora dentro de la suite UI del componente.</t>
  </si>
  <si>
    <t>SV-UI-08</t>
  </si>
  <si>
    <t>Importar ontología y fuente CSV desde el mapping-editor</t>
  </si>
  <si>
    <t>- mapping-editor habilitado por la validación del componente
- UI del editor accesible
- Fixtures de ontología y CSV disponibles en el framework</t>
  </si>
  <si>
    <t>Paso 1: Ingresar al URL del mapping-editor.
Paso 2: Abrir Global Configuration.
Paso 3: Crear un mapping temporal para aislar la sesión.
Paso 4: Abrir Ontologies.
Paso 5: Importar la ontología de movilidad controlada.
Paso 6: Click en Add y verificar que la ontología queda disponible.
Paso 7: Abrir Explore Ontology y capturar clases/propiedades visibles.
Paso 8: Abrir Data Files.
Paso 9: Subir stops.csv y click en Save.
Paso 10: Abrir Display Data para confirmar que la fuente queda disponible.</t>
  </si>
  <si>
    <t>La UI importa una ontología fixture, permite explorar sus términos, carga una fuente CSV fixture y deja ambos insumos disponibles para flujos posteriores de authoring de mappings.</t>
  </si>
  <si>
    <t>Automatizado / revisado: importación de ontología y CSV</t>
  </si>
  <si>
    <t>Reconciliado 2026-05-18: SV-UI-08 está catalogado como automated/mapped; usa fixtures controlados del componente para validar la UI sin versionar datasets reducidos de dominio.</t>
  </si>
  <si>
    <t>SV-UI-10</t>
  </si>
  <si>
    <t>Explorar mapping no vacio y Ontology-Mapping Lens</t>
  </si>
  <si>
    <t>- mapping-editor desplegado y accesible
- Fixture RML no vacía compatible con el editor
- Ontología de movilidad controlada disponible</t>
  </si>
  <si>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importación desde "File".
Paso 7: Subir la ontología de movilidad controlada y click en "Add".
Paso 8: Click en "Explore Mapping" y validar "Network Visualisation".
Paso 9: Click en "Predefined Searches" y consultar "TriplesMaps", "Subject Maps" y "Predicate-Object Maps".
Paso 10: Click en "Preview" y verificar la serialización del mapping.
Paso 11: Click en "Ontology-Mapping Lens".
Paso 12: Revisar "Mapping Composition", "Class Usage", "Property Usage" y "External Terms".</t>
  </si>
  <si>
    <t>La UI importa un mapping RML no vacio, muestra su red visual, búsquedas predefinidas, preview y paneles de explicabilidad del lens.</t>
  </si>
  <si>
    <t>validation/components/semantic_virtualization/ui/specs/sv_ui_02_mapping_editor.spec.js
Variable runtime: SEMANTIC_VIRTUALIZATION_MAPPING_EDITOR_UI=1
Marcadores: PLAYWRIGHT_INTERACTION_MARKERS=1</t>
  </si>
  <si>
    <t>Automatizado / revisado: mapping no vacío y Ontology-Mapping Lens</t>
  </si>
  <si>
    <t>Reconciliado 2026-05-18: SV-UI-10 está catalogado como automated/mapped y aporta evidencia visual para VirSem-18/VirSem-19 con marcadores Playwright activos.</t>
  </si>
  <si>
    <t>SV-GTFS-BENCH-01</t>
  </si>
  <si>
    <t>Validar recursos oficiales GTFS-Madrid-Bench para virtualizacion</t>
  </si>
  <si>
    <t>support / official dataset traceability</t>
  </si>
  <si>
    <t>QA / Data Space Operator</t>
  </si>
  <si>
    <t>Repositorio fuente del componente integrado en el entorno</t>
  </si>
  <si>
    <t>El framework queda trazado al repositorio oficial GTFS-Madrid-Bench antes de derivar muestras reproducibles.</t>
  </si>
  <si>
    <t>validation/components/semantic_virtualization/gtfs_bench_official.py</t>
  </si>
  <si>
    <t>Automatizado / revisado: fuente oficial GTFS-Bench</t>
  </si>
  <si>
    <t>Reconciliado 2026-05-18: valida disponibilidad local del repositorio oficial y sus mappings; no versiona un dataset reducido dentro del framework.</t>
  </si>
  <si>
    <t>SV-GTFS-BENCH-02</t>
  </si>
  <si>
    <t>Generar y validar muestra derivada de GTFS-Madrid-Bench oficial</t>
  </si>
  <si>
    <t>support / trazabilidad dataset oficial</t>
  </si>
  <si>
    <t>- Repositorio oficial GTFS-Bench sincronizado por el framework
- Recursos CSV y mappings oficiales disponibles como insumo reproducible</t>
  </si>
  <si>
    <t>La muestra derivada de GTFS-Bench oficial queda validada, trazable al repositorio oeg-upm/gtfs-bench y lista para pruebas funcionales ligeras del virtualizador.</t>
  </si>
  <si>
    <t>validation/components/semantic_virtualization/gtfs_bench_dataset.py
tests/test_semantic_virtualization_gtfs_bench_dataset.py</t>
  </si>
  <si>
    <t>Automatizado / revisado: muestra oficial derivada</t>
  </si>
  <si>
    <t>Reconciliado 2026-05-18: el framework no versiona un dataset reducido; deriva una muestra determinista durante la validación a partir del repositorio oficial sincronizado.</t>
  </si>
  <si>
    <t>SV-GTFS-BENCH-03</t>
  </si>
  <si>
    <t>Materializar y consultar muestra derivada de GTFS-Madrid-Bench oficial</t>
  </si>
  <si>
    <t>functional / trazabilidad dataset oficial</t>
  </si>
  <si>
    <t>- Muestra oficial derivada validada
- Mapping CSV oficial disponible como insumo reproducible
- Queries oficiales q1 disponibles</t>
  </si>
  <si>
    <t>Paso 1: Adaptar el mapping CSV oficial para apuntar a los CSV derivados para la validación.
Paso 2: Materializar un grafo RDF ligero desde las tablas GTFS seleccionadas.
Paso 3: Ejecutar la query oficial simple q1 sobre shape points.
Paso 4: Ejecutar la query oficial completa q1 sobre shape, trips y routes.
Paso 5: Registrar estadísticas RDF y resultados SPARQL.</t>
  </si>
  <si>
    <t>El mapping oficial adaptado, la muestra derivada y las queries oficiales producen un grafo RDF coherente y consultable.</t>
  </si>
  <si>
    <t>validation/components/semantic_virtualization/gtfs_bench_materialization.py
tests/test_semantic_virtualization_gtfs_bench_materialization.py</t>
  </si>
  <si>
    <t>Automatizado / revisado: materialización GTFS-Bench oficial</t>
  </si>
  <si>
    <t>Reconciliado 2026-05-18: alcance controlado y reproducible; valida coherencia funcional sobre datos derivados del repositorio oficial sin hacer pesado Level 6.</t>
  </si>
  <si>
    <t>SV-GTFS-BENCH-04</t>
  </si>
  <si>
    <t>Exponer RDF oficial derivado de GTFS-Bench como asset HttpData en INESData</t>
  </si>
  <si>
    <t>integration / HttpData</t>
  </si>
  <si>
    <t>- INESData desplegado con dos conectores
- Semantic Virtualization desplegado
- SV-GTFS-BENCH-03 passed
- Asset, policy, contract definition y negociación se crean con limpieza QA controlada</t>
  </si>
  <si>
    <t>Paso 1: Reutilizar la evidencia SV-GTFS-BENCH-03 para obtener el RDF materializado derivado de GTFS-Bench oficial.
Paso 2: Ejecutar el runner API con --gtfs-bench-official-materialization y --skip-transfer cuando se quiera acotar la validación a publicación/negociación.
Paso 3: Verificar que el provider publica el asset HttpData con metadatos GTFS-Bench oficiales derivados.
Paso 4: Verificar que el consumer descubre el asset en catálogo.
Paso 5: Iniciar negociación y esperar acuerdo FINALIZED.
Paso 6: Ejecutar la validación visual UI Playwright con marcadores visuales.
Paso 7: Confirmar login, detalle de catálogo, ofertas de contrato y negociación completa.</t>
  </si>
  <si>
    <t>El RDF oficial derivado del virtualizador queda registrado como asset HttpData gobernado por INESData, descubrible y negociable por el consumer desde API y UI.</t>
  </si>
  <si>
    <t>Automatizado / revisado: integración HttpData API+UI</t>
  </si>
  <si>
    <t>Reconciliado 2026-05-18: SV-GTFS-BENCH-04 confirma desde API y UI que el RDF oficial derivado se publica, descubre y negocia como HttpData en INESData.</t>
  </si>
  <si>
    <t>INT-VS-DS-01</t>
  </si>
  <si>
    <t>Publicación HttpData del virtualizador en INESData</t>
  </si>
  <si>
    <t>Data Provider / Data Consumer / QA</t>
  </si>
  <si>
    <t>- Virtualizador desplegado
- Conectores INESData operativos
- Endpoint de consulta/salida semántica disponible</t>
  </si>
  <si>
    <t>Paso 1: Crear asset HttpData hacia el virtualizador.
Paso 2: Crear policy y contract definition.
Paso 3: Solicitar catálogo y negociar.
Paso 4: Registrar trazabilidad de asset/acuerdo.</t>
  </si>
  <si>
    <t>El output del virtualizador queda gobernado como asset de dataspace.</t>
  </si>
  <si>
    <t>validation/components/semantic_virtualization/dataspace_integration.py</t>
  </si>
  <si>
    <t>Relacionado con PT5-VS-11 y DS-UI-SV-01.</t>
  </si>
  <si>
    <t>INT-VS-DS-02</t>
  </si>
  <si>
    <t>Negociación visual del asset semántico desde INESData UI</t>
  </si>
  <si>
    <t>integration UI</t>
  </si>
  <si>
    <t>Data Consumer / QA</t>
  </si>
  <si>
    <t>- Asset HttpData semántico visible
- Consumer puede acceder a Catalog Browser</t>
  </si>
  <si>
    <t>Paso 1: Abrir Catalog Browser.
Paso 2: Localizar asset semántico.
Paso 3: Abrir detalle/ofertas.
Paso 4: Negociar contrato desde la UI.</t>
  </si>
  <si>
    <t>La negociación visual del asset semántico queda evidenciada con Playwright.</t>
  </si>
  <si>
    <t>Nivel 6 incluye la spec 07 por defecto.</t>
  </si>
  <si>
    <t>INT-VS-AMH-01</t>
  </si>
  <si>
    <t>integration traceability</t>
  </si>
  <si>
    <t>QA / Auditoría</t>
  </si>
  <si>
    <t>- Muestra GTFS-Bench oficial derivada
- Caso MH-MOB-01 disponible</t>
  </si>
  <si>
    <t>Paso 1: Validar materialización GTFS-Bench.
Paso 2: Comparar hashes, filas y join keys.
Paso 3: Registrar puente con AI Model Hub movilidad.</t>
  </si>
  <si>
    <t>La salida semántica tiene trazabilidad defendible hacia el caso de movilidad de AI Model Hub.</t>
  </si>
  <si>
    <t>No implica consumo directo en UI de AI Model Hub todavía; funciona como puente de trazabilidad.</t>
  </si>
  <si>
    <t>INT-VS-OH-01</t>
  </si>
  <si>
    <t>Alineación Virtualización con ontologías de Ontology Hub</t>
  </si>
  <si>
    <t>Semantic Virtualization + Ontology Hub</t>
  </si>
  <si>
    <t>Semantic Engineer / QA</t>
  </si>
  <si>
    <t>- Ontologías de referencia disponibles en Ontology Hub
- Mapping del virtualizador declarando dependencia semántica</t>
  </si>
  <si>
    <t>Paso 1: Identificar ontología de referencia.
Paso 2: Asociarla al mapping o fixture.
Paso 3: Validar que la integración queda evidenciada en resultados.</t>
  </si>
  <si>
    <t>El mapping del virtualizador declara y usa una referencia de Ontology Hub de forma verificable.</t>
  </si>
  <si>
    <t>Pendiente de automatización específica</t>
  </si>
  <si>
    <t>Pendiente / partial</t>
  </si>
  <si>
    <t>Pendiente de evidencia final</t>
  </si>
  <si>
    <t>Único caso de integración del virtualizador marcado como partial en el catálogo YAML actual.</t>
  </si>
  <si>
    <t>SV-CONSERVATIVE-MARGIN</t>
  </si>
  <si>
    <t>Margen conservador de progreso del Virtualizador</t>
  </si>
  <si>
    <t>governance / cierre A5.2</t>
  </si>
  <si>
    <t>- Suites del Virtualizador implementadas
- Validación QA manual pendiente antes de retirar el margen</t>
  </si>
  <si>
    <t>Paso 1: Mantener la cobertura técnica documentada.
Paso 2: Ejecutar o revisar las suites del Virtualizador.
Paso 3: Retirar el margen conservador solo cuando QA valide los resultados.</t>
  </si>
  <si>
    <t>El workbook muestra 10/22 (45.5%) como avance operativo conservador aunque la cobertura técnica real sea 20/22 (90.9%).</t>
  </si>
  <si>
    <t>validation/components/semantic_virtualization/test_cases.yaml
validation/projects/inesdata/integration/test_cases.yaml</t>
  </si>
  <si>
    <t>Margen conservador aplicado / pendiente validación QA</t>
  </si>
  <si>
    <t>Catálogos YAML del framework
E5.2 cierre A5.2</t>
  </si>
  <si>
    <t>Este margen evita sobredeclarar cierre del Virtualizador antes de la revisión manual de sus tests. No elimina la automatización existente.</t>
  </si>
  <si>
    <t>Indice de evidencias de validación</t>
  </si>
  <si>
    <t>Indice de evidencias principales</t>
  </si>
  <si>
    <t>Ruta evidencia</t>
  </si>
  <si>
    <t>Resumen detectado</t>
  </si>
  <si>
    <t>Uso en explicacion</t>
  </si>
  <si>
    <t>Ontology Hub functional 27</t>
  </si>
  <si>
    <t>total=27, passed=23, failed=4, skipped=0</t>
  </si>
  <si>
    <t>23 passed / 4 failed en última evidencia; fallos conocidos OH-APP-05,10,17,22.</t>
  </si>
  <si>
    <t>Ontology Hub Playwright raw</t>
  </si>
  <si>
    <t>passed=23, failed=4, skipped=0</t>
  </si>
  <si>
    <t>Resultados UI funcionales con screenshots/videos segun configuración.</t>
  </si>
  <si>
    <t>AI Model Hub connector governance</t>
  </si>
  <si>
    <t>total=5, passed=5, failed=0, skipped=0</t>
  </si>
  <si>
    <t>PT5-MH-09,11,16,17,18 passed.</t>
  </si>
  <si>
    <t>AI Model Hub benchmarking API</t>
  </si>
  <si>
    <t>total=4, passed=4, failed=0, skipped=0</t>
  </si>
  <si>
    <t>PT5-MH-12..15 API/fixture passed.</t>
  </si>
  <si>
    <t>AI Model Hub benchmarking UI validación visual</t>
  </si>
  <si>
    <t>passed=4, failed=0, skipped=0</t>
  </si>
  <si>
    <t>Artefactos Playwright generados localmente cuando aplica</t>
  </si>
  <si>
    <t>Semantic Virtualization component API</t>
  </si>
  <si>
    <t>5/5 API checks passed después de mapping-editor.</t>
  </si>
  <si>
    <t>Semantic Virtualization mapping editor UI</t>
  </si>
  <si>
    <t>passed=2, failed=0, skipped=0</t>
  </si>
  <si>
    <t>PT5-VS-07 y PT5-VS-08 UI passed.</t>
  </si>
  <si>
    <t>Semantic Virtualization dataspace HttpData</t>
  </si>
  <si>
    <t>total=11, passed=11, failed=0, skipped=0</t>
  </si>
  <si>
    <t>Publicación, negociación y transferencia STARTED para HttpData virtualizado.</t>
  </si>
  <si>
    <t>VS + AI Model Hub traceability</t>
  </si>
  <si>
    <t>total=8, passed=8, failed=0, skipped=0</t>
  </si>
  <si>
    <t>8/8 checks de trazabilidad movilidad passed.</t>
  </si>
  <si>
    <t>Ontology Hub OH-APP/PT5 traceability</t>
  </si>
  <si>
    <t>PT5 total=16, passed=6, failed=8, skipped=2; OH-APP ejecutados=27; sin secretos en JSON.</t>
  </si>
  <si>
    <t>documentar a validación externa como los 27 OH-APP se agregan contra los 16 PT5 oficiales.</t>
  </si>
  <si>
    <t>Ontology Hub functional 27 reset-off 20260506</t>
  </si>
  <si>
    <t>total=27, passed=13, failed=14, skipped=0; ejecución conservadora con reset=off.</t>
  </si>
  <si>
    <t>Evidencia real para validar que el runner nuevo conserva OH-APP y genera vista PT5 agregada.</t>
  </si>
  <si>
    <t>Ontology Hub INESData readonly PT5-OH-16</t>
  </si>
  <si>
    <t>1/1 passed; Vocabularies shared API 200; Ontology Hub vocabulary list API 200; dashboard framework-report generado e indexado por el visor general.</t>
  </si>
  <si>
    <t>documentar a validación externa que INESData tiene configurada la integración con Ontology Hub y puede consultarlo desde la UI sin mutar el entorno.</t>
  </si>
  <si>
    <t>AI Model Hub mobility benchmarking API</t>
  </si>
  <si>
    <t>total=1, passed=1, failed=0, skipped=0; MH-MOB-01; GTFS join_keys route_id/trip_id/stop_id; dashboard framework-report generado e indexado por el visor general.</t>
  </si>
  <si>
    <t>Cerrar MH-MOB-01 como benchmark determinista de movilidad; abrir dashboard framework-report para mostrar resumen y JSON de benchmark.</t>
  </si>
  <si>
    <t>Ontology Hub baseline soft cleanup 20260506</t>
  </si>
  <si>
    <t>OH-APP total=27, passed=9, failed=18; PT5 total=16, passed=3, failed=11, skipped=2; dashboard framework-report generado con estado Issues detected por fallo real de componente.</t>
  </si>
  <si>
    <t>Evidencia de baseline limpio conservador; usar dashboard para documentar fallos reales del componente y cascada tras crash.</t>
  </si>
  <si>
    <t>Semantic Virtualization INESData UI HttpData</t>
  </si>
  <si>
    <t>1/1 passed; provider publica asset HttpData del virtualizador; consumer lo descubre en Catalog Browser, abre detalle/ofertas y completa negociación; dashboard framework-report generado e indexado por el visor general.</t>
  </si>
  <si>
    <t>validación visual end-to-end para validación externa: abrir dashboard framework-report como indice, luego reporte Playwright con capturas/video de asset HttpData gobernado desde INESData.</t>
  </si>
  <si>
    <t>Semantic Virtualization editor UI extended</t>
  </si>
  <si>
    <t>passed=5, failed=0, skipped=0</t>
  </si>
  <si>
    <t>validación visual extendida del mapping-editor: PT5-VS-07, PT5-VS-08, SV-UI-04, SV-UI-05 y SV-UI-06.</t>
  </si>
  <si>
    <t>AI Model Hub INESData HttpData UI</t>
  </si>
  <si>
    <t>DS-UI-AMH-01 valida modelo HttpData visible, metadatos controlados, negociación desde INESData UI y agreement del consumer confirmado por API; dashboard framework-report generado y descubrible por el visor general.</t>
  </si>
  <si>
    <t>Validación visual para validación externa: publicar modelo como asset, abrir Catalog Browser, ver detalle/ofertas, validar metadatos, negociar contrato y confirmar agreement. Abrir primero el dashboard framework-report como índice y luego el reporte Playwright.</t>
  </si>
  <si>
    <t>Component UI live marker contract</t>
  </si>
  <si>
    <t>Ontology Hub + AI Model Hub + Semantic Virtualization</t>
  </si>
  <si>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</si>
  <si>
    <t>23/23 unit tests passed; node --check passed para helpers live-marker y spec mapping-editor.</t>
  </si>
  <si>
    <t>documentar que las validaciones visuales Playwright de componentes resaltan visualmente los elementos UI usados por la prueba, facilitando seguimiento en validación externa.</t>
  </si>
  <si>
    <t>Semantic Virtualization UI marked con evidencias verificables</t>
  </si>
  <si>
    <t>8/8 Playwright passed; markers enabled; screenshots, videos, traces, Playwright report and framework dashboard generated; simple JSON/HTML/TXT secret scan clean.</t>
  </si>
  <si>
    <t>Validación visual con evidencias verificables del virtualizador: API visible, OpenAPI/query endpoint, mapping-editor, ontologías, authoring temporal, exportacion y materializacion con elementos UI resaltados.</t>
  </si>
  <si>
    <t>AI Model Hub benchmarking UI marked con evidencias verificables</t>
  </si>
  <si>
    <t>4/4 Playwright passed; PT5-MH-12..15; markers enabled; screenshots, videos, Playwright report and framework dashboard generated; simple JSON/HTML/TXT secret scan clean.</t>
  </si>
  <si>
    <t>Validación visual con evidencias verificables de benchmarking: selección de modelos FLARES, ejecución comparativa, métricas calculadas, tabla comparativa y Best Model con elementos UI resaltados.</t>
  </si>
  <si>
    <t>Semantic Virtualization INESData UI marked con evidencias verificables</t>
  </si>
  <si>
    <t>1/1 Playwright passed; DS-UI-SV-01; markers enabled; provider publishes virtualizer HttpData, consumer discovers/detail/offers/negotiates from INESData UI; simple JSON/HTML/TXT secret scan clean.</t>
  </si>
  <si>
    <t>Validación visual con evidencias verificables INESData del virtualizador como asset HttpData gobernado.</t>
  </si>
  <si>
    <t>AI Model Hub INESData UI marked con evidencias verificables</t>
  </si>
  <si>
    <t>DS-UI-AMH-01; markers enabled; provider publishes model HttpData, consumer discovers/detail/offers/negotiates from INESData UI, visible metadata is asserted and consumer agreement is confirmed by API; simple JSON/HTML/TXT secret scan clean.</t>
  </si>
  <si>
    <t>Validación visual con evidencias verificables INESData del modelo AI Model Hub como asset HttpData gobernado, con agreement confirmado por API.</t>
  </si>
  <si>
    <t>Ontology Hub functional baseline reset-off marked 2026-05-07</t>
  </si>
  <si>
    <t>OH-APP total=27, passed=13, failed=14, skipped=0; PT5 total=16, passed=4, failed=10, skipped=2; reset=off; visual markers enabled; no new pod restart.</t>
  </si>
  <si>
    <t>Baseline funcional separada con issues conocidos; no forma parte del paquete verde, pero demuestra reproducibilidad y evidencia visual para validación externa/desarrolladores.</t>
  </si>
  <si>
    <t>Ontology Hub functional baseline idempotent marked 2026-05-07</t>
  </si>
  <si>
    <t>OH-APP total=27, passed=21, failed=6, skipped=0; PT5 total=16, passed=8, failed=6, skipped=2; reset=off; visual markers enabled; restart ENOENT reproduced and logged.</t>
  </si>
  <si>
    <t>Baseline funcional vigente con issues conocidos; evidencia visual para revisión externa y evidencia técnica para desarrolladores del componente.</t>
  </si>
  <si>
    <t>Ontology Hub OH-APP-05 targeted framework fix 2026-05-07</t>
  </si>
  <si>
    <t>Targeted run: OH-APP-04 passed, OH-APP-05 passed. Confirma corrección framework del selector/flujo Version History sin ejecutar versiones.</t>
  </si>
  <si>
    <t>Usar para no reportar OH-APP-05 como issue nuevo de componente.</t>
  </si>
  <si>
    <t>AI Model Observer strategy</t>
  </si>
  <si>
    <t>validation/components/ai_model_hub/test_cases.yaml
validation/projects/inesdata/integration/test_cases.yaml</t>
  </si>
  <si>
    <t>Actualizado 2026-05-18: MH-OBS-01 y MH-OBS-02 quedan automated/mapped; MH-OBS-03..06 siguen planned como ampliaciones futuras.</t>
  </si>
  <si>
    <t>Usar para explicar que Observer/Clearing House ya está integrado en la arquitectura de pruebas y que la evidencia final depende de reejecutar nivel 6.</t>
  </si>
  <si>
    <t>AI Model Observer MH-OBS-02 runner</t>
  </si>
  <si>
    <t>validation/components/ai_model_hub/model_observer_api.py
validation/components/ai_model_hub/component_runner.py</t>
  </si>
  <si>
    <t>El runner normaliza URLs con /api/model-observer, deriva backend-&lt;dataspace&gt;.&lt;domain&gt; desde la configuración activa del despliegue y escribe evidencia sin Authorization ni payloads crudos.</t>
  </si>
  <si>
    <t>Usar para auditoría de gobernanza: journal API, timeline, agreement, benchmark y participant summary.</t>
  </si>
  <si>
    <t>AI Model Observer MH-OBS-01 UI smoke</t>
  </si>
  <si>
    <t>validation/ui/adapters/inesdata/specs/10-ai-model-observer.spec.ts
validation/orchestration/ui.py</t>
  </si>
  <si>
    <t>La spec 10 está incluida en el perfil UI dataspace de nivel 6; Level 6 habilita el marcador runtime por defecto.</t>
  </si>
  <si>
    <t>Usar para mostrar navegación visual hacia timeline, agreement evidence, benchmark evidence y participant summary.</t>
  </si>
  <si>
    <t>Ontology Hub functional latest 25/27</t>
  </si>
  <si>
    <t>total=27, passed=25, failed=2, skipped=0; fallos vigentes OH-APP-10 y OH-APP-22.</t>
  </si>
  <si>
    <t>Evidencia funcional vigente para documentar que la mayoría de issues quedaron corregidos y que los fallos restantes son de componente.</t>
  </si>
  <si>
    <t>AI Model Observer MH-OBS-02 execution 20260507</t>
  </si>
  <si>
    <t>Evidencia histórica generada por el framework</t>
  </si>
  <si>
    <t>Ejecución histórica con skip controlado antes de la reconciliación 2026-05-18; se conserva como evidencia previa, no como estado actual.</t>
  </si>
  <si>
    <t>Sustituir por evidencia final tras ejecutar nivel 6 actualizado.</t>
  </si>
  <si>
    <t>AI Model Observer MH-OBS-01 UI execution 20260507</t>
  </si>
  <si>
    <t>Ejecución histórica con skip controlado antes de incluir Observer como mapped/default en nivel 6; se conserva como evidencia previa.</t>
  </si>
  <si>
    <t>Semantic Virtualization SV-UI-07 implemented</t>
  </si>
  <si>
    <t>SV-UI-07 implementado y catalogado. La ejecución real anterior quedó bloqueada porque el mapping-editor no estaba desplegado/resoluble; ahora el despliegue opt-in quedó habilitado localmente para la próxima ejecución de Level 5.</t>
  </si>
  <si>
    <t>Usar para documentar que el framework ya tiene el flujo automatizado y que el paso pendiente es desplegar el editor opt-in para obtener evidencia passed.</t>
  </si>
  <si>
    <t>Semantic Virtualization mapping-editor deployer opt-in</t>
  </si>
  <si>
    <t>Se habilitó localmente el deployment opt-in del mapping-editor con SEMANTIC_VIRTUALIZATION_MAPPING_EDITOR_ENABLED=true y host explícito. La configuración es local y reversible. Validación sin efectos: helm template confirma que el chart generará Deployment, Service e Ingress validación visual-semantic-virtualization-editor con puerto 8501.</t>
  </si>
  <si>
    <t>Usar para justificar por que Level 5 anterior no desplego el editor y cual es el siguiente paso seguro: reejecutar Level 5 y validar SV-UI-07.</t>
  </si>
  <si>
    <t>Semantic Virtualization Level 5 ingress webhook failure</t>
  </si>
  <si>
    <t>Causa raíz: fallo transitorio del webhook validate.nginx.ingress.kubernetes.io durante helm upgrade --install. Las imagenes y pods/services se crearon, pero Helm dejo el release failed y no creo el ingress del mapping-editor.</t>
  </si>
  <si>
    <t>Usar para documentar que no fue un fallo funcional del virtualizador: la corrección del framework agrega retries de Helm y sincroniza el host del editor antes de repetir Level 5.</t>
  </si>
  <si>
    <t>Semantic Virtualization SV-UI-07 passed</t>
  </si>
  <si>
    <t>SV-UI-07 passed con Playwright y marcadores visuales. Cubre mapping temporal, namespace custom, exportacion de mapping y controles de estilo del mapping-editor.</t>
  </si>
  <si>
    <t>Usar como evidencia con evidencias verificables de flujo funcional UI del mapping-editor tras Level 5.</t>
  </si>
  <si>
    <t>Semantic Virtualization mapping editor SV-UI-08</t>
  </si>
  <si>
    <t>passed=1, failed=0, skipped=0</t>
  </si>
  <si>
    <t>Validación visual: importa ontología mobility-mini.owl, explora ontología, sube stops.csv y abre Display Data con marcadores Playwright.</t>
  </si>
  <si>
    <t>Semantic Virtualization mapping editor SV-UI-10</t>
  </si>
  <si>
    <t>SV-UI-10 passed: total=1, passed=1, failed=0, skipped=0; mapping fixture con 2 TriplesMaps y 5 PredicateObjectMaps; se validan Network, Predefined Searches, Preview y Ontology-Mapping Lens.</t>
  </si>
  <si>
    <t>Usar como Validación visual con evidencias verificables para mostrar inspeccion/explicabilidad de mappings en el editor con elementos resaltados por Playwright.</t>
  </si>
  <si>
    <t>Semantic Virtualization GTFS-Bench official source</t>
  </si>
  <si>
    <t>passed=1, failed=0, skipped=0; official gtfs-bench source commit 7fcdaa7; ontology=1554 triples; csv mapping=13 TriplesMaps; queries simple=12 full=18.</t>
  </si>
  <si>
    <t>Acredita trazabilidad al repositorio oficial antes de derivar muestras o ejecutar validaciones pesadas fuera del ciclo habitual.</t>
  </si>
  <si>
    <t>Semantic Virtualization GTFS-Bench official mini</t>
  </si>
  <si>
    <t>SV-GTFS-BENCH-02 total=1, passed=1; fixture con 10 CSV oficiales derivados, manifest, commit y hashes.</t>
  </si>
  <si>
    <t>Explica que el framework deriva una muestra trazable al GTFS-Bench oficial sin hacer pesado Level 6.</t>
  </si>
  <si>
    <t>Semantic Virtualization GTFS-Bench official materialization</t>
  </si>
  <si>
    <t>SV-GTFS-BENCH-03 total=1, passed=1; mapping adaptado con 13 TriplesMap, grafo RDF 371 triples, q1 simple=16 filas, q1 completa=16 filas, join probe=12 filas.</t>
  </si>
  <si>
    <t>Explica que la muestra oficial derivada puede convertirse a RDF y consultarse con queries oficiales.</t>
  </si>
  <si>
    <t>Semantic Virtualization GTFS-Bench official HttpData integration ready</t>
  </si>
  <si>
    <t>SV-GTFS-BENCH-04 implementado: el asset HttpData incluye metadatos de GTFS-Bench oficial derivado, repo oficial, commit, hash del RDF, triples y resultados de consultas.</t>
  </si>
  <si>
    <t>Usar para documentar que el framework ya puede publicar el RDF oficial derivado en INESData sin meter mutaciones en Level 6 obligatorio; ejecutar validación visual live solo cuando se necesite evidencia con evidencias verificables actualizada.</t>
  </si>
  <si>
    <t>Semantic Virtualization GTFS-Bench official HttpData API live</t>
  </si>
  <si>
    <t>SV-GTFS-BENCH-04 API passed: total=10, passed=9, failed=0, skipped=1 por --skip-transfer. Asset asset-e2e-sv-5c8951c2-b20b-4e, agreement FINALIZED, assetType semantic-virtualization-gtfs-bench-rdf-output, tripleCount=371.</t>
  </si>
  <si>
    <t>Usar para demostrar gobierno contractual API del RDF oficial derivado sin ejecutar transferencia mutante.</t>
  </si>
  <si>
    <t>Semantic Virtualization GTFS-Bench official HttpData UI live trace off</t>
  </si>
  <si>
    <t>SV-GTFS-BENCH-04 UI passed: 1/1 Playwright. Asset qa-ui-sv-httpdata-1778188867027 visible en catálogo, contract offers disponibles y negociación completada. fatalErrorResponses=0.</t>
  </si>
  <si>
    <t>Level 6 UI dataspace profile 03-10</t>
  </si>
  <si>
    <t>validation/orchestration/ui.py
validation/ui/playwright.inesdata.config.ts</t>
  </si>
  <si>
    <t>Nivel 6 ejecuta por defecto specs 03, 03B, 03C, 05, 06, 07, 08, 09 y 10. Kafka/streaming transfer queda fuera por activación explícita.</t>
  </si>
  <si>
    <t>Usar para explicar que las integraciones UI de SV/OH/AMH/Observer ya no son opt-in en nivel 6.</t>
  </si>
  <si>
    <t>AI Model Observer reconciliation 20260518</t>
  </si>
  <si>
    <t>validation/components/ai_model_hub/model_observer_api.py
validation/components/ai_model_hub/component_runner.py
validation/projects/inesdata/integration/test_cases.yaml</t>
  </si>
  <si>
    <t>Reconciliación aplicada: MH-OBS-01/MH-OBS-02 automated/mapped, backend Observer parametrizado por la configuración activa del despliegue y cobertura unitaria ampliada.</t>
  </si>
  <si>
    <t>Usar como punto de control previo a la ejecución final de nivel 6 sin Kafka.</t>
  </si>
  <si>
    <t>A5.2 coverage snapshot 2026-05-21</t>
  </si>
  <si>
    <t>Todos los componentes</t>
  </si>
  <si>
    <t>Evidencia generada por el framework de validación
Catálogos YAML versionados en validation/
Dashboard local de experimento generado por el framework</t>
  </si>
  <si>
    <t>Cobertura técnica trazable 85/94 (90.4%); cobertura operativa conservadora 75/94 (79.8%) por margen QA aplicado al Virtualizador.</t>
  </si>
  <si>
    <t>Usar como lectura ejecutiva: el Virtualizador conserva automatización técnica, pero se computa al 50% hasta validación manual de sus tests. Kafka queda como ejecución explícita de cierre.</t>
  </si>
  <si>
    <t>Trazabilidad Ontology Hub PT5 / OH-APP</t>
  </si>
  <si>
    <t>Trazabilidad Ontology Hub: PT5 oficial vs OH-APP ampliado</t>
  </si>
  <si>
    <t>ID PT5</t>
  </si>
  <si>
    <t>Caso PT5</t>
  </si>
  <si>
    <t>Cobertura OH-APP / spec relacionado</t>
  </si>
  <si>
    <t>Tipo de cobertura</t>
  </si>
  <si>
    <t>Procedimiento explicable para validación visual</t>
  </si>
  <si>
    <t>Próxima acción</t>
  </si>
  <si>
    <t>Fuente</t>
  </si>
  <si>
    <t>Registrar una ontología mediante URI o repositorio</t>
  </si>
  <si>
    <t>OH-APP-03, OH-APP-04, pt5_oh_01_create_vocab.spec.js</t>
  </si>
  <si>
    <t>Funcional UI</t>
  </si>
  <si>
    <t>Paso 1: Ingresar como admin.
Paso 2: Abrir creación de vocabulario.
Paso 3: Registrar ontología por URI o repositorio.
Paso 4: Verificar publicación en catálogo.</t>
  </si>
  <si>
    <t>Mantener evidencia idempotente 2026-05-07 como baseline funcional actual.</t>
  </si>
  <si>
    <t>Modificar metadatos de una ontología existente</t>
  </si>
  <si>
    <t>OH-APP-10, pt5_oh_02_edit_vocab.spec.js</t>
  </si>
  <si>
    <t>Paso 1: Ingresar como admin.
Paso 2: Abrir detalle editable de una ontología.
Paso 3: Cambiar metadatos/tags.
Paso 4: Guardar y reabrir el detalle.</t>
  </si>
  <si>
    <t>Los metadatos editados se reflejan correctamente.</t>
  </si>
  <si>
    <t>Mantener como issue/cobertura pendiente de componente y reejecutar después de corrección.</t>
  </si>
  <si>
    <t>Eliminar una ontología registrada</t>
  </si>
  <si>
    <t>Paso 1: Crear o localizar ontología temporal.
Paso 2: Ejecutar acción de eliminación.
Paso 3: Buscarla de nuevo en catálogo.</t>
  </si>
  <si>
    <t>La ontología eliminada ya no aparece.</t>
  </si>
  <si>
    <t>Crear, editar y eliminar etiquetas</t>
  </si>
  <si>
    <t>OH-APP-19, OH-APP-20, OH-APP-21</t>
  </si>
  <si>
    <t>Paso 1: Ingresar a gestión de tags.
Paso 2: Crear etiqueta.
Paso 3: Editar etiqueta.
Paso 4: Eliminar etiqueta.</t>
  </si>
  <si>
    <t>El CRUD de etiquetas funciona y deja evidencia visual.</t>
  </si>
  <si>
    <t>Crear usuarios y validar acceso según rol</t>
  </si>
  <si>
    <t>OH-APP-15, OH-APP-16, OH-APP-17, OH-APP-18</t>
  </si>
  <si>
    <t>Paso 1: Crear agente/usuario.
Paso 2: Revisar visibilidad según rol USER.
Paso 3: Promover a admin.
Paso 4: Verificar cambios de permisos y limpiar usuario.</t>
  </si>
  <si>
    <t>Las opciones visibles coinciden con el rol asignado.</t>
  </si>
  <si>
    <t>Ejecutar operaciones sobre ontologías</t>
  </si>
  <si>
    <t>OH-APP-22, OH-APP-23, OH-APP-24</t>
  </si>
  <si>
    <t>Funcional UI ampliada / servicios</t>
  </si>
  <si>
    <t>Paso 1: Abrir servicios asociados a ontologías.
Paso 2: Ejecutar generación de patrones, FOOPS o Themis.
Paso 3: Descargar o revisar resultado generado.</t>
  </si>
  <si>
    <t>Los servicios ejecutan y devuelven resultado verificable.</t>
  </si>
  <si>
    <t>Registrar una ontología RDF/OWL</t>
  </si>
  <si>
    <t>OH-APP-03, OH-APP-04</t>
  </si>
  <si>
    <t>Paso 1: Registrar ontología RDF/OWL por URI o repositorio.
Paso 2: Verificar que se procesa como vocabulario semántico.
Paso 3: Abrir detalle y revisar compatibilidad.</t>
  </si>
  <si>
    <t>El recurso RDF/OWL queda registrado y consultable.</t>
  </si>
  <si>
    <t>Buscar ontologías por texto libre</t>
  </si>
  <si>
    <t>OH-LIST-SEARCH, OH-APP-25, runner pt5_oh_08_term_search</t>
  </si>
  <si>
    <t>UI/API</t>
  </si>
  <si>
    <t>Paso 1: Abrir catálogo o términos.
Paso 2: Introducir texto libre.
Paso 3: Revisar resultados.</t>
  </si>
  <si>
    <t>Los resultados son coherentes con la búsqueda.</t>
  </si>
  <si>
    <t>Filtrar por metadatos y etiquetas</t>
  </si>
  <si>
    <t>OH-APP-06, OH-APP-07, OH-APP-08, OH-APP-09, OH-APP-26, OH-APP-27</t>
  </si>
  <si>
    <t>Paso 1: Abrir catálogo/términos.
Paso 2: Aplicar filtros por clase, propiedad, tag o idioma.
Paso 3: Validar que el listado cambia de forma coherente.</t>
  </si>
  <si>
    <t>Los filtros devuelven resultados consistentes.</t>
  </si>
  <si>
    <t>Consultar versiones específicas</t>
  </si>
  <si>
    <t>OH-APP-11, OH-APP-12, OH-APP-13, pt5_oh_10_versions.spec.js</t>
  </si>
  <si>
    <t>Paso 1: Abrir una ontología con historial.
Paso 2: Añadir/editar/eliminar versión o seleccionar versión.
Paso 3: Verificar que la versión esperada se muestra.</t>
  </si>
  <si>
    <t>La versión consultada queda disponible y visible.</t>
  </si>
  <si>
    <t>Reportar/actualizar issue versions.js ENOENT y reejecutar después de corrección.</t>
  </si>
  <si>
    <t>Acceder a la ficha de una ontología</t>
  </si>
  <si>
    <t>OH-APP-05, pt5_oh_11_vocab_detail.spec.js</t>
  </si>
  <si>
    <t>Paso 1: Abrir catálogo.
Paso 2: Click en una ontología.
Paso 3: Revisar ficha y descarga .n3.</t>
  </si>
  <si>
    <t>La ficha y descarga están disponibles.</t>
  </si>
  <si>
    <t>Consultar estadísticas y popularidad</t>
  </si>
  <si>
    <t>OH-APP-23, pt5_oh_12_statistics.spec.js</t>
  </si>
  <si>
    <t>Paso 1: Abrir ficha o métricas.
Paso 2: Revisar estadísticas/FOOPS.
Paso 3: Confirmar que se muestran valores.</t>
  </si>
  <si>
    <t>Las métricas son visibles.</t>
  </si>
  <si>
    <t>Ejecutar una consulta SPARQL</t>
  </si>
  <si>
    <t>runner pt5_oh_13_sparql_access; propuesto OH-APP-28 UI</t>
  </si>
  <si>
    <t>API automatizada / UI candidata</t>
  </si>
  <si>
    <t>Paso 1: Enviar consulta SPARQL ASK/SELECT.
Paso 2: Verificar respuesta del endpoint.
Paso 3: Para technical reviewía, repetir desde UI si existe página estable.</t>
  </si>
  <si>
    <t>La consulta devuelve resultado válido.</t>
  </si>
  <si>
    <t>Ejecutar servicios ontológicos checker/patrones</t>
  </si>
  <si>
    <t>Servicios UI</t>
  </si>
  <si>
    <t>Paso 1: Abrir página de patrones/FOOPS/Themis.
Paso 2: Ejecutar servicio con fixture.
Paso 3: Descargar o verificar resultado.</t>
  </si>
  <si>
    <t>El servicio genera resultado descargable o visible.</t>
  </si>
  <si>
    <t>Acceder a funcionalidades vía UI y API</t>
  </si>
  <si>
    <t>PT5-OH-15, OH-APP-25/26/27, API docs/page checks</t>
  </si>
  <si>
    <t>Híbrida UI/API</t>
  </si>
  <si>
    <t>Paso 1: Acceder por UI a catálogo/términos.
Paso 2: Ejecutar equivalente por API.
Paso 3: Comparar disponibilidad funcional.</t>
  </si>
  <si>
    <t>UI y API exponen funcionalidad equivalente.</t>
  </si>
  <si>
    <t>Validar conexión con el conector</t>
  </si>
  <si>
    <t>DS-UI-OH-01 / core/08-ontology-hub-inesdata-readonly.spec.ts</t>
  </si>
  <si>
    <t>Integración INESData UI read-only</t>
  </si>
  <si>
    <t>Integración INESData passed 2026-05-06; baseline funcional idempotente 2026-05-07 skipped</t>
  </si>
  <si>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</si>
  <si>
    <t>Ontology Hub queda accesible desde INESData y responde a las superficies de vocabularios esperadas.</t>
  </si>
  <si>
    <t>Mantener DS-UI-OH-01 como evidencia passed; si se exige gobierno contractual, agregar asset HttpData de Ontology Hub.</t>
  </si>
  <si>
    <t>Estado de cobertura A5.2</t>
  </si>
  <si>
    <t>Plan vivo de cobertura A5.2 - funcional e integración</t>
  </si>
  <si>
    <t>Fase</t>
  </si>
  <si>
    <t>Casos/alcance</t>
  </si>
  <si>
    <t>Acción concreta</t>
  </si>
  <si>
    <t>Criterio de avance</t>
  </si>
  <si>
    <t>Evidencia/hoja a actualizar</t>
  </si>
  <si>
    <t>Acción siguiente</t>
  </si>
  <si>
    <t>PLAN-00</t>
  </si>
  <si>
    <t>Gobierno del Excel</t>
  </si>
  <si>
    <t>Mantener el workbook como tablero vivo de A5.2.</t>
  </si>
  <si>
    <t>Todas las hojas de casos y evidencias.</t>
  </si>
  <si>
    <t>Actualizar este Excel cada vez que un caso pase de propuesto/pendiente a automatizado, passed, failed por issue o bloqueado.</t>
  </si>
  <si>
    <t>Activo</t>
  </si>
  <si>
    <t>Cada avance debe registrar estado, spec/runner, evidencia generada por ejecución y nota de alcance.</t>
  </si>
  <si>
    <t>Todas las hojas; especialmente 08_Evidencias y 11_Plan_Cobertura_A52.</t>
  </si>
  <si>
    <t>Riesgo de que las suites avancen pero la trazabilidad quede atrasada.</t>
  </si>
  <si>
    <t>Aplicar esta regla en cada iteración de automatización.</t>
  </si>
  <si>
    <t>PLAN-01</t>
  </si>
  <si>
    <t>Inventario y trazabilidad</t>
  </si>
  <si>
    <t>Consolidar todos los casos funcionales oficiales y los flujos ampliados ya automatizados.</t>
  </si>
  <si>
    <t>PT5-OH-01..16, PT5-MH-01..18, PT5-VS-01..12, DS-UI-* y OH-APP-*.</t>
  </si>
  <si>
    <t>Usar YAML, specs, runners, resultados previos, E5.1 y Excels históricos como fuentes.</t>
  </si>
  <si>
    <t>En progreso alto</t>
  </si>
  <si>
    <t>Cada caso esperado aparece en alguna hoja con pasos reproducibles.
Se agrego hoja 13_Casos_Uso_A52 con 12 casos de uso de validación, cada uno con flujo, respaldo de pruebas, estado, evidencia y pendiente.</t>
  </si>
  <si>
    <t>03_OH_PT5_16, 04_OH_UI_27, 05_AI_Model_Hub, 06_Virtualizacion, 10_Trazabilidad_OH_APP_PT5.
Hoja 13_Casos_Uso_A52.</t>
  </si>
  <si>
    <t>Los IDs OH-APP y PT5 pueden duplicar cobertura si no se explica la equivalencia.</t>
  </si>
  <si>
    <t>Mantener la hoja 10 como puente OH-APP -&gt; PT5-OH.</t>
  </si>
  <si>
    <t>PLAN-02</t>
  </si>
  <si>
    <t>Ontology Hub funcional</t>
  </si>
  <si>
    <t>Cerrar trazabilidad funcional de los 16 PT5 oficiales usando los 27 flujos OH-APP donde aplique.</t>
  </si>
  <si>
    <t>PT5-OH-01..16 y OH-APP-00..27.</t>
  </si>
  <si>
    <t>Mapear equivalencias, reejecutar suite funcional y separar fallos de componente de fallos del framework.</t>
  </si>
  <si>
    <t>Casi cerrado: baseline funcional 2026-05-07 19:27:24 ejecutada con 25/27 passed</t>
  </si>
  <si>
    <t>La suite funcional completa pasa 25/27. OH-APP-05, OH-APP-12, OH-APP-13, OH-APP-15 y OH-APP-17 quedan recuperados. Persisten OH-APP-10 y OH-APP-22 como issues de componente; versionado ENOENT queda abierto aúnque el framework tolere la recuperación.</t>
  </si>
  <si>
    <t>Persisten fallos de componente: OH-APP-10 metadata/tags no se publican tras Save; OH-APP-22 Patterns devuelve 500; versions.js ENOENT aún puede reiniciar el pod aúnque la suite se recupere.</t>
  </si>
  <si>
    <t>Actualizar issues de Ontology Hub para OH-APP-10, OH-APP-22 y versions.js ENOENT; después continuar cierre A5.2 con AI Model Hub/Observer y evidencias finales.</t>
  </si>
  <si>
    <t>PLAN-03</t>
  </si>
  <si>
    <t>Ontology Hub integración INESData</t>
  </si>
  <si>
    <t>Cubrir conexión operativa de Ontology Hub con el conector/dataspace.</t>
  </si>
  <si>
    <t>PT5-OH-16 / INT-OH-DS-03 / DS-UI-OH-01.</t>
  </si>
  <si>
    <t>Prueba Playwright read-only desde la UI de INESData: login consumer, lectura de ontologyUrl, Vocabularies API 200 y Ontology Hub vocabulary list API 200.</t>
  </si>
  <si>
    <t>Automatizado / passed e integrado al dashboard 2026-05-06</t>
  </si>
  <si>
    <t>La validación visual genera results.json, report JSON, capturas, video y trace; no crea ni elimina recursos; JSON escaneados sin secretos.</t>
  </si>
  <si>
    <t>La cobertura actual prueba conexión operativa read-only. Si el coordinación técnica exige gobierno contractual explícito, se deberá añadir un asset HttpData de Ontology Hub como incremento posterior.</t>
  </si>
  <si>
    <t>Mantener DS-UI-OH-01 como validación visual read-only; si se exige gobierno contractual explícito, considerar asset HttpData de Ontology Hub como incremento posterior.</t>
  </si>
  <si>
    <t>PLAN-04</t>
  </si>
  <si>
    <t>AI Model Hub funcional</t>
  </si>
  <si>
    <t>Completar cobertura funcional de catálogo, ejecución, benchmarking y movilidad.</t>
  </si>
  <si>
    <t>PT5-MH-01..18, MH-LING-01, MH-MOB-01.</t>
  </si>
  <si>
    <t>Ejecutar las suites funcionales y de integración desde nivel 6 por defecto; ampliar solo los flujos que falten tras revisar evidencia final.</t>
  </si>
  <si>
    <t>Automatizado alto / 27/27 passed en último Level 6 disponible; modelos reales FLARES/GTFS pendientes</t>
  </si>
  <si>
    <t>Level 6 ejecuta UI, functional, connector governance, model execution, benchmarking, mobility y Observer. Último resumen disponible: 27/27 passed.</t>
  </si>
  <si>
    <t>Hoja 06_AI_Model_Hub y artefactos generados por ejecución.</t>
  </si>
  <si>
    <t>FLARES/GTFS con modelos reales siguen dependiendo de la integración final de modelos externos; el model-server mantiene fixture determinista temporal.</t>
  </si>
  <si>
    <t>Mantener automatización actual y sustituir fixtures por modelos reales cuando estén disponibles.</t>
  </si>
  <si>
    <t>PLAN-05</t>
  </si>
  <si>
    <t>AI Model Hub integración INESData</t>
  </si>
  <si>
    <t>Validar modelos como assets gobernados por conector y consumo por UI/API.</t>
  </si>
  <si>
    <t>PT5-MH-03, 08, 09, 10, 11, 16, 17, 18; DS-UI-AMH-01; MH-OBS-01/02.</t>
  </si>
  <si>
    <t>Usar conector INESData para publicación, catálogo, contrato, acuerdo, acceso HttpData y evidencia Observer/Clearing House.</t>
  </si>
  <si>
    <t>Automatizado / mapped / pendiente evidencia final consolidada</t>
  </si>
  <si>
    <t>DS-UI-AMH-01, Browser, Execution, Benchmarking, DAIMO y Observer quedan mapeados en Level 6; Kafka se valida aparte.</t>
  </si>
  <si>
    <t>Hojas 02, 03, 06 y 08.</t>
  </si>
  <si>
    <t>Las pruebas mutantes deben limitarse a artefactos QA y limpiar cuando aplique.</t>
  </si>
  <si>
    <t>Reejecutar Level 6 sin Kafka y revisar dashboard unificado; activar Kafka al cierre.</t>
  </si>
  <si>
    <t>PLAN-06</t>
  </si>
  <si>
    <t>Semantic Virtualization funcional</t>
  </si>
  <si>
    <t>Mantener cerrada la cobertura PT5-VS-01..12 con API, fixtures, editor y GTFS-Bench oficial derivado.</t>
  </si>
  <si>
    <t>PT5-VS-01..12, SV-UI-01..10, SV-GTFS-BENCH-01..04.</t>
  </si>
  <si>
    <t>Ejecutar mappings offline, API SPARQL, GTFS-Bench y UI del editor desde nivel 6.</t>
  </si>
  <si>
    <t>Implementado técnicamente / margen conservador 50% hasta validación QA</t>
  </si>
  <si>
    <t>Cobertura técnica real 20/22 (90.9%); progreso operativo registrado como 10/22 (45.5%) hasta que QA valide manualmente los tests del Virtualizador.</t>
  </si>
  <si>
    <t>Hoja 07_Virtualizacion y artefactos generados por ejecución.</t>
  </si>
  <si>
    <t>La integración explícita con Ontology Hub sigue parcial y, además, la revisión QA del conjunto del Virtualizador está pendiente.</t>
  </si>
  <si>
    <t>Validar manualmente las suites del Virtualizador y actualizar la vista ejecutiva si el margen puede retirarse.</t>
  </si>
  <si>
    <t>PLAN-07</t>
  </si>
  <si>
    <t>Semantic Virtualization integración INESData</t>
  </si>
  <si>
    <t>Demostrar asset HttpData del virtualizador desde la UI de INESData.</t>
  </si>
  <si>
    <t>PT5-VS-11, DS-UI-SV-01, INT-VS-DS-01.</t>
  </si>
  <si>
    <t>Provider publica endpoint/salida del virtualizador; consumer descubre, abre detalle y negocia desde UI.</t>
  </si>
  <si>
    <t>DS-UI-SV-01 y SV-GTFS-BENCH-04 están automatizados; para el cierre operativo se computa solo la mitad del avance real hasta revisión QA.</t>
  </si>
  <si>
    <t>Requiere entorno INESData disponible. En WSL/minikube puede necesitar port-forward al ingress porque la IP 192.168.49.2 no es alcanzable directamente.</t>
  </si>
  <si>
    <t>Conservar evidencia actual y validar resultados antes de contabilizar el 100% técnico del Virtualizador.</t>
  </si>
  <si>
    <t>PLAN-08</t>
  </si>
  <si>
    <t>Validaciones visuales para revisión externa</t>
  </si>
  <si>
    <t>Priorizar reproducibilidad visual por UI cuando sea posible.</t>
  </si>
  <si>
    <t>INESData core, SV/OH/AMH/Observer vía INESData, suites propias O/A/V.</t>
  </si>
  <si>
    <t>Usar Playwright con capturas, videos y JSON; reservar API para preparar datos o validar backend.</t>
  </si>
  <si>
    <t>Reconciliado para nivel 6</t>
  </si>
  <si>
    <t>El perfil UI dataspace de nivel 6 incluye specs 03 a 10; las opciones manuales del menú se conservan para depuración.</t>
  </si>
  <si>
    <t>Hojas 03 y 08.</t>
  </si>
  <si>
    <t>Algunas UI dependen de datos o servicios inestables; Kafka queda explícito por coste temporal.</t>
  </si>
  <si>
    <t>Ejecutar nivel 6 final sin Kafka con marcadores visuales activos.</t>
  </si>
  <si>
    <t>PLAN-09</t>
  </si>
  <si>
    <t>Evidencias y seguridad</t>
  </si>
  <si>
    <t>Consolidar reportes limpios y verificables.</t>
  </si>
  <si>
    <t>Todos los experimentos.</t>
  </si>
  <si>
    <t>Registrar rutas de results.json, screenshots/videos y escaneo simple de secretos.
Verificar que las suites UI propias de componentes mantienen marcadores visuales activos para facilitar seguimiento en videos/capturas.</t>
  </si>
  <si>
    <t>En progreso alto / dashboards con evidencias verificables principales integrados 2026-05-06
Escaneo simple de JSON/HTML/TXT de ontology-hub-functional-baseline-resetoff-marked-20260506 sin tokens ni secretos.
Escaneo simple de JSON/HTML/TXT de ontology-hub-functional-baseline-idempotent-marked-20260507 sin tokens ni secretos.</t>
  </si>
  <si>
    <t>La evidencia puede contener trazas sensibles si se habilita trace sin filtrar.</t>
  </si>
  <si>
    <t>Consolidar paquete final y normalizar nombres E5.2 cuando se decida cerrar la iteración.</t>
  </si>
  <si>
    <t>PLAN-10</t>
  </si>
  <si>
    <t>Naming final E5.2</t>
  </si>
  <si>
    <t>Normalizar nombres al formato indicado por E5.2 al final, no durante iteraciones.</t>
  </si>
  <si>
    <t>Todos los IDs finales.</t>
  </si>
  <si>
    <t>Esperar a que suites esten completas para evitar renombrados repetidos.</t>
  </si>
  <si>
    <t>Diferido</t>
  </si>
  <si>
    <t>IDs finales consistentes con E5.2 y trazabilidad histórica conservada.</t>
  </si>
  <si>
    <t>Todas las hojas.</t>
  </si>
  <si>
    <t>Renombrar antes de cerrar cobertura puede romper referencias.</t>
  </si>
  <si>
    <t>Ejecutar como fase final antes del informe de cierre.</t>
  </si>
  <si>
    <t>PLAN-11</t>
  </si>
  <si>
    <t>AI Model Observer / Clearing House</t>
  </si>
  <si>
    <t>Incorporar observabilidad de Browser, Execution y Benchmark como capa de evidencia de modelos.</t>
  </si>
  <si>
    <t>MH-OBS-01..06, PT5-MH-17, DS-UI-AMH-OBS-01.</t>
  </si>
  <si>
    <t>Ejecutar MH-OBS-01 por UI INESData y MH-OBS-02 por API journal; mantener MH-OBS-03..06 como ampliaciones futuras.</t>
  </si>
  <si>
    <t>MH-OBS-01/MH-OBS-02 automated/mapped en framework</t>
  </si>
  <si>
    <t>Nivel 6 debe derivar el backend Observer desde la configuración activa del despliegue y registrar evidencia sin payloads sensibles.</t>
  </si>
  <si>
    <t>Si se ejecuta contra imágenes antiguas, la UI/API puede producir skip controlado; no debe romper el resto de Level 6.</t>
  </si>
  <si>
    <t>Reejecutar nivel 6 actualizado y sustituir evidencia histórica 2026-05-07 por evidencia final.</t>
  </si>
  <si>
    <t>PLAN-12</t>
  </si>
  <si>
    <t>Regresión final Level 6 sin Kafka</t>
  </si>
  <si>
    <t>Obtener evidencia final rápida de todas las suites automatizadas A5.2 excepto Kafka/streaming transfer.</t>
  </si>
  <si>
    <t>Playwright, Newman, validación de componentes e integración INESData.</t>
  </si>
  <si>
    <t>Ejecutar nivel 6 desde el menú con Kafka desactivado por defecto.</t>
  </si>
  <si>
    <t>Pendiente inmediata tras revisión QA del Virtualizador</t>
  </si>
  <si>
    <t>Dashboard unificado y JSON generados por ejecución sin fallos de framework; fallos de componente documentados. El margen VS se revisa tras validación manual.</t>
  </si>
  <si>
    <t>Dashboard unificado de Level 6 y hojas 08/10.</t>
  </si>
  <si>
    <t>Requiere haber ejecutado niveles 3, 4 y 5 del adapter activo.</t>
  </si>
  <si>
    <t>Ejecutar Level 6 final sin Kafka y actualizar porcentajes si el Virtualizador queda validado.</t>
  </si>
  <si>
    <t>PLAN-13</t>
  </si>
  <si>
    <t>Kafka/streaming transfer final</t>
  </si>
  <si>
    <t>Validar Kafka una vez al cierre por su coste temporal.</t>
  </si>
  <si>
    <t>Kafka transfer interoperability tests.</t>
  </si>
  <si>
    <t>Activar explícitamente desde nivel 6 o desde el menú de pruebas de interoperabilidad.</t>
  </si>
  <si>
    <t>Pendiente explícita</t>
  </si>
  <si>
    <t>Suite Kafka ejecutada una vez en entorno estable; resultado añadido a evidencias.</t>
  </si>
  <si>
    <t>Artefactos Kafka generados por Level 6 y dashboard unificado.</t>
  </si>
  <si>
    <t>Puede tardar demasiado; no debe bloquear la validación rápida de las demás suites.</t>
  </si>
  <si>
    <t>Ejecutar solo tras estabilizar la evidencia sin Kafka.</t>
  </si>
  <si>
    <t>Leyenda de colores del workbook E5.2</t>
  </si>
  <si>
    <t>Regla general</t>
  </si>
  <si>
    <t>El color se usa solo en cabeceras de tabla y en celdas de estado/progreso. Las filas de datos no tienen color de fondo para reducir ruido visual.</t>
  </si>
  <si>
    <t>Color</t>
  </si>
  <si>
    <t>Significado</t>
  </si>
  <si>
    <t>Uso</t>
  </si>
  <si>
    <t>Notas</t>
  </si>
  <si>
    <t>Automatizado / passed / mapped / reconciliado</t>
  </si>
  <si>
    <t>Estado aceptable para cierre o ya automatizado.</t>
  </si>
  <si>
    <t>Ver observaciones si requiere evidencia final.</t>
  </si>
  <si>
    <t>Pendiente / planificado / skipped controlado</t>
  </si>
  <si>
    <t>Trabajo identificado, activación explícita o ejecución final pendiente.</t>
  </si>
  <si>
    <t>Kafka entra aquí hasta su ejecución final.</t>
  </si>
  <si>
    <t>Parcial / en progreso / con limitaciones</t>
  </si>
  <si>
    <t>Cobertura útil pero no completamente cerrada.</t>
  </si>
  <si>
    <t>Requiere seguimiento o evidencia adicional.</t>
  </si>
  <si>
    <t>Failed / error / issue vigente</t>
  </si>
  <si>
    <t>Fallo real o bloqueo que debe explicarse.</t>
  </si>
  <si>
    <t>Debe quedar documentado antes del cierre.</t>
  </si>
  <si>
    <t>PT5-VS y GTFS-Bench están implementados.</t>
  </si>
  <si>
    <t xml:space="preserve">La vista ejecutiva aplica margen conservador al Virtualizador.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</si>
</sst>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rgb="FF000000"/>
      <name val="Calibri"/>
    </font>
    <font>
      <sz val="11"/>
      <color rgb="FF000000"/>
      <name val="Calibri"/>
    </font>
    <font>
      <b/>
      <sz val="11"/>
      <color rgb="FFFFFFFF"/>
      <name val="Calibri"/>
    </font>
    <font>
      <sz val="12"/>
      <color theme="10"/>
      <name val="Calibri"/>
      <family val="2"/>
      <scheme val="minor"/>
    </font>
    <font>
      <b/>
      <sz val="11"/>
      <color rgb="FF000000"/>
      <name val="Calibri"/>
    </font>
    <font>
      <sz val="11"/>
      <color rgb="FF000000"/>
      <name val="Calibri"/>
    </font>
    <font>
      <b/>
      <sz val="14"/>
      <color theme="0"/>
      <name val="Calibri"/>
      <family val="2"/>
    </font>
    <font>
      <b/>
      <sz val="11"/>
      <color theme="0"/>
      <name val="Calibri"/>
      <family val="2"/>
    </font>
  </fonts>
  <fills count="8">
    <fill>
      <patternFill patternType="none"/>
    </fill>
    <fill>
      <patternFill patternType="gray125"/>
    </fill>
    <fill>
      <patternFill patternType="solid">
        <fgColor rgb="FFFFF2CC"/>
      </patternFill>
    </fill>
    <fill>
      <patternFill patternType="solid">
        <fgColor rgb="FFF4CCCC"/>
      </patternFill>
    </fill>
    <fill>
      <patternFill patternType="solid">
        <fgColor rgb="FF1F4E78"/>
      </patternFill>
    </fill>
    <fill>
      <patternFill patternType="solid">
        <fgColor rgb="FFE2F0D9"/>
      </patternFill>
    </fill>
    <fill>
      <patternFill patternType="solid">
        <fgColor rgb="FFFCE4D6"/>
      </patternFill>
    </fill>
    <fill>
      <patternFill patternType="solid">
        <fgColor theme="3"/>
        <bgColor indexed="64"/>
      </patternFill>
    </fill>
  </fills>
  <borders count="6">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s>
  <cellStyleXfs count="2">
    <xf numFmtId="0" fontId="0" fillId="0" borderId="2"/>
    <xf numFmtId="0" fontId="4" fillId="0" borderId="2"/>
  </cellStyleXfs>
  <cellXfs count="28">
    <xf numFmtId="0" fontId="0" fillId="0" borderId="0" xfId="0" applyBorder="1"/>
    <xf numFmtId="0" fontId="0" fillId="0" borderId="1" xfId="0" applyBorder="1" applyAlignment="1">
      <alignment vertical="top" wrapText="1"/>
    </xf>
    <xf numFmtId="0" fontId="2" fillId="0" borderId="2" xfId="0" applyFont="1"/>
    <xf numFmtId="0" fontId="2" fillId="0" borderId="2" xfId="0" applyFont="1" applyAlignment="1">
      <alignment vertical="top" wrapText="1"/>
    </xf>
    <xf numFmtId="0" fontId="0" fillId="5" borderId="3" xfId="0" applyFill="1" applyBorder="1" applyAlignment="1">
      <alignment vertical="top" wrapText="1"/>
    </xf>
    <xf numFmtId="0" fontId="0" fillId="6" borderId="3" xfId="0" applyFill="1" applyBorder="1" applyAlignment="1">
      <alignment vertical="top" wrapText="1"/>
    </xf>
    <xf numFmtId="0" fontId="2" fillId="0" borderId="3" xfId="0" applyFont="1" applyBorder="1" applyAlignment="1">
      <alignment vertical="top" wrapText="1"/>
    </xf>
    <xf numFmtId="0" fontId="2" fillId="6" borderId="3" xfId="0" applyFont="1" applyFill="1" applyBorder="1" applyAlignment="1">
      <alignment vertical="top" wrapText="1"/>
    </xf>
    <xf numFmtId="0" fontId="4" fillId="0" borderId="3" xfId="1" applyBorder="1" applyAlignment="1">
      <alignment vertical="top" wrapText="1"/>
    </xf>
    <xf numFmtId="0" fontId="0" fillId="0" borderId="3" xfId="0" applyBorder="1" applyAlignment="1">
      <alignment vertical="top" wrapText="1"/>
    </xf>
    <xf numFmtId="0" fontId="0" fillId="3" borderId="3" xfId="0" applyFill="1" applyBorder="1" applyAlignment="1">
      <alignment vertical="top" wrapText="1"/>
    </xf>
    <xf numFmtId="0" fontId="0" fillId="2" borderId="3" xfId="0" applyFill="1" applyBorder="1" applyAlignment="1">
      <alignment vertical="top" wrapText="1"/>
    </xf>
    <xf numFmtId="0" fontId="5" fillId="0" borderId="3" xfId="0" applyFont="1" applyBorder="1" applyAlignment="1">
      <alignment vertical="top" wrapText="1"/>
    </xf>
    <xf numFmtId="0" fontId="3" fillId="4" borderId="3" xfId="0" applyFont="1" applyFill="1" applyBorder="1" applyAlignment="1">
      <alignment horizontal="center" vertical="center" wrapText="1"/>
    </xf>
    <xf numFmtId="0" fontId="6" fillId="0" borderId="3" xfId="0" applyFont="1" applyBorder="1" applyAlignment="1">
      <alignment vertical="top" wrapText="1"/>
    </xf>
    <xf numFmtId="0" fontId="6" fillId="6" borderId="3" xfId="0" applyFont="1" applyFill="1" applyBorder="1" applyAlignment="1">
      <alignment vertical="top" wrapText="1"/>
    </xf>
    <xf numFmtId="0" fontId="2" fillId="5" borderId="3" xfId="0" applyFont="1" applyFill="1" applyBorder="1" applyAlignment="1">
      <alignment vertical="top" wrapText="1"/>
    </xf>
    <xf numFmtId="0" fontId="1" fillId="0" borderId="3" xfId="0" applyFont="1" applyBorder="1" applyAlignment="1">
      <alignment vertical="top" wrapText="1"/>
    </xf>
    <xf numFmtId="0" fontId="6" fillId="5" borderId="3" xfId="0" applyFont="1" applyFill="1" applyBorder="1" applyAlignment="1">
      <alignment vertical="top" wrapText="1"/>
    </xf>
    <xf numFmtId="0" fontId="5" fillId="0" borderId="0" xfId="0" applyFont="1" applyBorder="1"/>
    <xf numFmtId="0" fontId="8" fillId="7" borderId="3" xfId="0" applyFont="1" applyFill="1" applyBorder="1" applyAlignment="1">
      <alignment vertical="top" wrapText="1"/>
    </xf>
    <xf numFmtId="0" fontId="8" fillId="7" borderId="3" xfId="0" applyFont="1" applyFill="1" applyBorder="1" applyAlignment="1">
      <alignment vertical="top" wrapText="1"/>
    </xf>
    <xf numFmtId="0" fontId="0" fillId="0" borderId="4" xfId="0" applyBorder="1"/>
    <xf numFmtId="0" fontId="0" fillId="0" borderId="5" xfId="0" applyBorder="1"/>
    <xf numFmtId="0" fontId="5" fillId="0" borderId="3" xfId="0" applyFont="1" applyBorder="1" applyAlignment="1">
      <alignment vertical="top" wrapText="1"/>
    </xf>
    <xf numFmtId="0" fontId="7" fillId="7" borderId="2" xfId="0" applyFont="1" applyFill="1"/>
    <xf numFmtId="0" fontId="0" fillId="0" borderId="0" xfId="0" applyBorder="1"/>
    <xf numFmtId="0" fontId="0" fillId="0" borderId="2" xfId="0"/>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rPr lang="es-ES"/>
              <a:t>Cierre por componente</a:t>
            </a:r>
          </a:p>
        </c:rich>
      </c:tx>
      <c:layout>
        <c:manualLayout>
          <c:xMode val="edge"/>
          <c:yMode val="edge"/>
          <c:x val="0.21549177777777781"/>
          <c:y val="0"/>
        </c:manualLayout>
      </c:layout>
      <c:overlay val="1"/>
      <c:spPr>
        <a:noFill/>
        <a:ln>
          <a:noFill/>
          <a:prstDash val="solid"/>
        </a:ln>
      </c:spPr>
    </c:title>
    <c:autoTitleDeleted val="0"/>
    <c:plotArea>
      <c:layout/>
      <c:barChart>
        <c:barDir val="bar"/>
        <c:grouping val="clustered"/>
        <c:varyColors val="1"/>
        <c:ser>
          <c:idx val="0"/>
          <c:order val="0"/>
          <c:tx>
            <c:strRef>
              <c:f>'00_Resumen'!$J$14</c:f>
              <c:strCache>
                <c:ptCount val="1"/>
                <c:pt idx="0">
                  <c:v>Sin bloqueo</c:v>
                </c:pt>
              </c:strCache>
            </c:strRef>
          </c:tx>
          <c:spPr>
            <a:solidFill>
              <a:srgbClr val="4F81BD"/>
            </a:solidFill>
            <a:ln>
              <a:noFill/>
              <a:prstDash val="solid"/>
            </a:ln>
          </c:spPr>
          <c:invertIfNegative val="1"/>
          <c:cat>
            <c:strRef>
              <c:f>'00_Resumen'!$I$15:$I$18</c:f>
              <c:strCache>
                <c:ptCount val="4"/>
                <c:pt idx="0">
                  <c:v>INESData</c:v>
                </c:pt>
                <c:pt idx="1">
                  <c:v>Ontology Hub</c:v>
                </c:pt>
                <c:pt idx="2">
                  <c:v>AI Model Hub</c:v>
                </c:pt>
                <c:pt idx="3">
                  <c:v>Semantic Virtualization</c:v>
                </c:pt>
              </c:strCache>
            </c:strRef>
          </c:cat>
          <c:val>
            <c:numRef>
              <c:f>'00_Resumen'!$J$15:$J$18</c:f>
              <c:numCache>
                <c:formatCode>General</c:formatCode>
                <c:ptCount val="4"/>
                <c:pt idx="0">
                  <c:v>10</c:v>
                </c:pt>
                <c:pt idx="1">
                  <c:v>27</c:v>
                </c:pt>
                <c:pt idx="2">
                  <c:v>25</c:v>
                </c:pt>
                <c:pt idx="3">
                  <c:v>9</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5D5-46E8-B232-1671E8AE9C68}"/>
            </c:ext>
          </c:extLst>
        </c:ser>
        <c:ser>
          <c:idx val="1"/>
          <c:order val="1"/>
          <c:tx>
            <c:strRef>
              <c:f>'00_Resumen'!$K$14</c:f>
              <c:strCache>
                <c:ptCount val="1"/>
                <c:pt idx="0">
                  <c:v>Pendientes cierre</c:v>
                </c:pt>
              </c:strCache>
            </c:strRef>
          </c:tx>
          <c:spPr>
            <a:solidFill>
              <a:srgbClr val="C0504D"/>
            </a:solidFill>
            <a:ln>
              <a:noFill/>
              <a:prstDash val="solid"/>
            </a:ln>
          </c:spPr>
          <c:invertIfNegative val="1"/>
          <c:cat>
            <c:strRef>
              <c:f>'00_Resumen'!$I$15:$I$18</c:f>
              <c:strCache>
                <c:ptCount val="4"/>
                <c:pt idx="0">
                  <c:v>INESData</c:v>
                </c:pt>
                <c:pt idx="1">
                  <c:v>Ontology Hub</c:v>
                </c:pt>
                <c:pt idx="2">
                  <c:v>AI Model Hub</c:v>
                </c:pt>
                <c:pt idx="3">
                  <c:v>Semantic Virtualization</c:v>
                </c:pt>
              </c:strCache>
            </c:strRef>
          </c:cat>
          <c:val>
            <c:numRef>
              <c:f>'00_Resumen'!$K$15:$K$18</c:f>
              <c:numCache>
                <c:formatCode>General</c:formatCode>
                <c:ptCount val="4"/>
                <c:pt idx="0">
                  <c:v>0</c:v>
                </c:pt>
                <c:pt idx="1">
                  <c:v>3</c:v>
                </c:pt>
                <c:pt idx="2">
                  <c:v>4</c:v>
                </c:pt>
                <c:pt idx="3">
                  <c:v>15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35D5-46E8-B232-1671E8AE9C68}"/>
            </c:ext>
          </c:extLst>
        </c:ser>
        <c:dLbls>
          <c:showLegendKey val="0"/>
          <c:showVal val="0"/>
          <c:showCatName val="0"/>
          <c:showSerName val="0"/>
          <c:showPercent val="0"/>
          <c:showBubbleSize val="0"/>
        </c:dLbls>
        <c:gapWidth val="269"/>
        <c:axId val="10"/>
        <c:axId val="100"/>
      </c:barChart>
      <c:catAx>
        <c:axId val="10"/>
        <c:scaling>
          <c:orientation val="minMax"/>
        </c:scaling>
        <c:delete val="0"/>
        <c:axPos val="l"/>
        <c:title>
          <c:tx>
            <c: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Componentes</a:t>
                </a:r>
              </a:p>
            </c:rich>
          </c:tx>
          <c:overlay val="1"/>
          <c:spPr>
            <a:noFill/>
            <a:ln>
              <a:noFill/>
              <a:prstDash val="solid"/>
            </a:ln>
          </c:spPr>
        </c:title>
        <c:numFmt formatCode="General" sourceLinked="1"/>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endParaRPr lang="es-ES"/>
          </a:p>
        </c:txPr>
        <c:crossAx val="100"/>
        <c:crosses val="autoZero"/>
        <c:auto val="1"/>
        <c:lblAlgn val="ctr"/>
        <c:lblOffset val="100"/>
        <c:noMultiLvlLbl val="1"/>
      </c:catAx>
      <c:valAx>
        <c:axId val="100"/>
        <c:scaling>
          <c:orientation val="minMax"/>
        </c:scaling>
        <c:delete val="0"/>
        <c:axPos val="b"/>
        <c:majorGridlines>
          <c:spPr>
            <a:ln w="9525" cap="flat" cmpd="sng" algn="ctr">
              <a:solidFill>
                <a:schemeClr val="tx1">
                  <a:lumMod val="15000"/>
                  <a:lumOff val="85000"/>
                </a:schemeClr>
              </a:solidFill>
              <a:prstDash val="solid"/>
              <a:round/>
            </a:ln>
          </c:spPr>
        </c:majorGridlines>
        <c:minorGridlines>
          <c:spPr>
            <a:ln w="9525" cap="flat" cmpd="sng" algn="ctr">
              <a:solidFill>
                <a:schemeClr val="tx1">
                  <a:lumMod val="5000"/>
                  <a:lumOff val="95000"/>
                </a:schemeClr>
              </a:solidFill>
              <a:prstDash val="solid"/>
              <a:round/>
            </a:ln>
          </c:spPr>
        </c:minorGridlines>
        <c:title>
          <c:tx>
            <c:rich>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Casos de Prueba</a:t>
                </a:r>
              </a:p>
            </c:rich>
          </c:tx>
          <c:overlay val="1"/>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s-ES"/>
          </a:p>
        </c:txPr>
        <c:crossAx val="10"/>
        <c:crosses val="autoZero"/>
        <c:crossBetween val="between"/>
      </c:valAx>
    </c:plotArea>
    <c:legend>
      <c:legendPos val="t"/>
      <c:layout>
        <c:manualLayout>
          <c:xMode val="edge"/>
          <c:yMode val="edge"/>
          <c:x val="0.28778844444444451"/>
          <c:y val="0.10583333333333329"/>
          <c:w val="0.43006755555555548"/>
          <c:h val="7.441458333333334E-2"/>
        </c:manualLayout>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8</xdr:col>
      <xdr:colOff>0</xdr:colOff>
      <xdr:row>20</xdr:row>
      <xdr:rowOff>0</xdr:rowOff>
    </xdr:from>
    <xdr:ext cx="4500000" cy="288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3"/>
  <sheetViews>
    <sheetView tabSelected="1" workbookViewId="0">
      <pane ySplit="3" topLeftCell="A22" activePane="bottomLeft" state="frozen"/>
      <selection pane="bottomLeft" activeCell="F30" sqref="F30"/>
    </sheetView>
  </sheetViews>
  <sheetFormatPr baseColWidth="10" defaultColWidth="9.109375" defaultRowHeight="14.4" x14ac:dyDescent="0.3"/>
  <cols>
    <col min="1" max="1" width="21.44140625" customWidth="1"/>
    <col min="2" max="3" width="13.44140625" customWidth="1"/>
    <col min="4" max="4" width="18" customWidth="1"/>
    <col min="5" max="5" width="15.88671875" customWidth="1"/>
    <col min="6" max="6" width="64" customWidth="1"/>
    <col min="7" max="7" width="30" customWidth="1"/>
    <col min="8" max="8" width="18" customWidth="1"/>
    <col min="9" max="9" width="28" customWidth="1"/>
    <col min="10" max="10" width="14" customWidth="1"/>
    <col min="11" max="11" width="18" customWidth="1"/>
    <col min="13" max="13" width="64" customWidth="1"/>
  </cols>
  <sheetData>
    <row r="1" spans="1:13" ht="30" customHeight="1" x14ac:dyDescent="0.3">
      <c r="A1" s="21" t="s">
        <v>166</v>
      </c>
      <c r="B1" s="22"/>
      <c r="C1" s="22"/>
      <c r="D1" s="22"/>
      <c r="E1" s="22"/>
      <c r="F1" s="23"/>
    </row>
    <row r="2" spans="1:13" ht="30" customHeight="1" x14ac:dyDescent="0.3"/>
    <row r="3" spans="1:13" ht="30" customHeight="1" x14ac:dyDescent="0.3">
      <c r="A3" s="13" t="s">
        <v>167</v>
      </c>
      <c r="B3" s="13" t="s">
        <v>168</v>
      </c>
      <c r="C3" s="13" t="s">
        <v>169</v>
      </c>
      <c r="D3" s="13" t="s">
        <v>170</v>
      </c>
      <c r="E3" s="13" t="s">
        <v>4</v>
      </c>
      <c r="F3" s="13" t="s">
        <v>14</v>
      </c>
    </row>
    <row r="4" spans="1:13" ht="30" customHeight="1" x14ac:dyDescent="0.3">
      <c r="A4" s="14" t="s">
        <v>171</v>
      </c>
      <c r="B4" s="9" t="s">
        <v>172</v>
      </c>
      <c r="C4" s="4" t="s">
        <v>173</v>
      </c>
      <c r="D4" s="9" t="s">
        <v>174</v>
      </c>
      <c r="E4" s="9" t="s">
        <v>175</v>
      </c>
      <c r="F4" s="9" t="s">
        <v>176</v>
      </c>
    </row>
    <row r="5" spans="1:13" ht="30" customHeight="1" x14ac:dyDescent="0.3">
      <c r="A5" s="14" t="s">
        <v>177</v>
      </c>
      <c r="B5" s="9" t="s">
        <v>178</v>
      </c>
      <c r="C5" s="4" t="s">
        <v>173</v>
      </c>
      <c r="D5" s="9" t="s">
        <v>179</v>
      </c>
      <c r="E5" s="9" t="s">
        <v>180</v>
      </c>
      <c r="F5" s="9" t="s">
        <v>181</v>
      </c>
    </row>
    <row r="6" spans="1:13" ht="30" customHeight="1" x14ac:dyDescent="0.3">
      <c r="A6" s="14" t="s">
        <v>17</v>
      </c>
      <c r="B6" s="9" t="s">
        <v>182</v>
      </c>
      <c r="C6" s="5" t="s">
        <v>183</v>
      </c>
      <c r="D6" s="9" t="s">
        <v>184</v>
      </c>
      <c r="E6" s="9" t="s">
        <v>17</v>
      </c>
      <c r="F6" s="9" t="s">
        <v>185</v>
      </c>
    </row>
    <row r="7" spans="1:13" ht="30" customHeight="1" x14ac:dyDescent="0.3">
      <c r="A7" s="14" t="s">
        <v>186</v>
      </c>
      <c r="B7" s="9" t="s">
        <v>187</v>
      </c>
      <c r="C7" s="5" t="s">
        <v>188</v>
      </c>
      <c r="D7" s="9" t="s">
        <v>189</v>
      </c>
      <c r="E7" s="9" t="s">
        <v>186</v>
      </c>
      <c r="F7" s="9" t="s">
        <v>190</v>
      </c>
    </row>
    <row r="8" spans="1:13" ht="30" customHeight="1" x14ac:dyDescent="0.3">
      <c r="A8" s="14" t="s">
        <v>191</v>
      </c>
      <c r="B8" s="9" t="s">
        <v>192</v>
      </c>
      <c r="C8" s="4" t="s">
        <v>193</v>
      </c>
      <c r="D8" s="9" t="s">
        <v>194</v>
      </c>
      <c r="E8" s="9" t="s">
        <v>191</v>
      </c>
      <c r="F8" s="9" t="s">
        <v>195</v>
      </c>
    </row>
    <row r="9" spans="1:13" ht="30" customHeight="1" x14ac:dyDescent="0.3">
      <c r="A9" s="14" t="s">
        <v>196</v>
      </c>
      <c r="B9" s="9" t="s">
        <v>197</v>
      </c>
      <c r="C9" s="4" t="s">
        <v>198</v>
      </c>
      <c r="D9" s="9" t="s">
        <v>199</v>
      </c>
      <c r="E9" s="9" t="s">
        <v>200</v>
      </c>
      <c r="F9" s="9" t="s">
        <v>201</v>
      </c>
    </row>
    <row r="10" spans="1:13" ht="30" customHeight="1" x14ac:dyDescent="0.3">
      <c r="A10" s="14" t="s">
        <v>202</v>
      </c>
      <c r="B10" s="9" t="s">
        <v>203</v>
      </c>
      <c r="C10" s="4" t="s">
        <v>204</v>
      </c>
      <c r="D10" s="9" t="s">
        <v>205</v>
      </c>
      <c r="E10" s="9" t="s">
        <v>175</v>
      </c>
      <c r="F10" s="9" t="s">
        <v>206</v>
      </c>
    </row>
    <row r="11" spans="1:13" ht="30" customHeight="1" x14ac:dyDescent="0.3"/>
    <row r="12" spans="1:13" ht="30" customHeight="1" x14ac:dyDescent="0.3">
      <c r="A12" s="24" t="s">
        <v>207</v>
      </c>
      <c r="B12" s="22"/>
      <c r="C12" s="22"/>
      <c r="D12" s="22"/>
      <c r="E12" s="22"/>
      <c r="F12" s="22"/>
      <c r="G12" s="23"/>
      <c r="H12" s="2"/>
      <c r="I12" s="2"/>
      <c r="J12" s="2"/>
      <c r="K12" s="2"/>
      <c r="L12" s="2"/>
      <c r="M12" s="2"/>
    </row>
    <row r="13" spans="1:13" ht="30" customHeight="1" x14ac:dyDescent="0.3">
      <c r="A13" s="2"/>
      <c r="B13" s="2"/>
      <c r="C13" s="2"/>
      <c r="D13" s="2"/>
      <c r="E13" s="2"/>
      <c r="F13" s="2"/>
      <c r="G13" s="2"/>
      <c r="H13" s="2"/>
      <c r="I13" s="2"/>
      <c r="J13" s="2"/>
      <c r="K13" s="2"/>
      <c r="L13" s="2"/>
      <c r="M13" s="2"/>
    </row>
    <row r="14" spans="1:13" ht="30" customHeight="1" x14ac:dyDescent="0.3">
      <c r="A14" s="13" t="s">
        <v>208</v>
      </c>
      <c r="B14" s="13" t="s">
        <v>209</v>
      </c>
      <c r="C14" s="13" t="s">
        <v>210</v>
      </c>
      <c r="D14" s="2"/>
      <c r="E14" s="2"/>
      <c r="F14" s="2"/>
      <c r="G14" s="2"/>
      <c r="H14" s="2"/>
      <c r="I14" s="13" t="s">
        <v>4</v>
      </c>
      <c r="J14" s="13" t="s">
        <v>211</v>
      </c>
      <c r="K14" s="13" t="s">
        <v>212</v>
      </c>
      <c r="L14" s="2"/>
      <c r="M14" s="2"/>
    </row>
    <row r="15" spans="1:13" ht="30" customHeight="1" x14ac:dyDescent="0.3">
      <c r="A15" s="14" t="s">
        <v>213</v>
      </c>
      <c r="B15" s="15" t="s">
        <v>214</v>
      </c>
      <c r="C15" s="6" t="s">
        <v>215</v>
      </c>
      <c r="D15" s="2"/>
      <c r="E15" s="2"/>
      <c r="F15" s="2"/>
      <c r="G15" s="2"/>
      <c r="H15" s="2"/>
      <c r="I15" s="6" t="s">
        <v>216</v>
      </c>
      <c r="J15" s="6">
        <v>10</v>
      </c>
      <c r="K15" s="6">
        <v>0</v>
      </c>
      <c r="L15" s="2"/>
      <c r="M15" s="2"/>
    </row>
    <row r="16" spans="1:13" ht="30" customHeight="1" x14ac:dyDescent="0.3">
      <c r="A16" s="14" t="s">
        <v>217</v>
      </c>
      <c r="B16" s="14" t="s">
        <v>218</v>
      </c>
      <c r="C16" s="6" t="s">
        <v>219</v>
      </c>
      <c r="D16" s="2"/>
      <c r="E16" s="2"/>
      <c r="F16" s="2"/>
      <c r="G16" s="2"/>
      <c r="H16" s="2"/>
      <c r="I16" s="6" t="s">
        <v>17</v>
      </c>
      <c r="J16" s="6">
        <v>27</v>
      </c>
      <c r="K16" s="6">
        <v>3</v>
      </c>
      <c r="L16" s="2"/>
      <c r="M16" s="2"/>
    </row>
    <row r="17" spans="1:13" ht="30" customHeight="1" x14ac:dyDescent="0.3">
      <c r="A17" s="14" t="s">
        <v>220</v>
      </c>
      <c r="B17" s="14" t="s">
        <v>221</v>
      </c>
      <c r="C17" s="6" t="s">
        <v>222</v>
      </c>
      <c r="D17" s="2"/>
      <c r="E17" s="2"/>
      <c r="F17" s="2"/>
      <c r="G17" s="2"/>
      <c r="H17" s="2"/>
      <c r="I17" s="6" t="s">
        <v>186</v>
      </c>
      <c r="J17" s="6">
        <v>25</v>
      </c>
      <c r="K17" s="6">
        <v>4</v>
      </c>
      <c r="L17" s="2"/>
      <c r="M17" s="2"/>
    </row>
    <row r="18" spans="1:13" ht="30" customHeight="1" x14ac:dyDescent="0.3">
      <c r="A18" s="14" t="s">
        <v>223</v>
      </c>
      <c r="B18" s="15" t="s">
        <v>224</v>
      </c>
      <c r="C18" s="6" t="s">
        <v>225</v>
      </c>
      <c r="D18" s="2"/>
      <c r="E18" s="2"/>
      <c r="F18" s="2"/>
      <c r="G18" s="2"/>
      <c r="H18" s="2"/>
      <c r="I18" s="6" t="s">
        <v>191</v>
      </c>
      <c r="J18" s="6">
        <v>9</v>
      </c>
      <c r="K18" s="6">
        <v>15</v>
      </c>
      <c r="L18" s="2"/>
      <c r="M18" s="2"/>
    </row>
    <row r="19" spans="1:13" ht="30" customHeight="1" x14ac:dyDescent="0.3">
      <c r="A19" s="2"/>
      <c r="B19" s="2"/>
      <c r="C19" s="2"/>
      <c r="D19" s="2"/>
      <c r="E19" s="2"/>
      <c r="F19" s="2"/>
      <c r="G19" s="2"/>
      <c r="H19" s="2"/>
      <c r="I19" s="2"/>
      <c r="J19" s="2"/>
      <c r="K19" s="2"/>
      <c r="L19" s="2"/>
      <c r="M19" s="2"/>
    </row>
    <row r="20" spans="1:13" ht="30" customHeight="1" x14ac:dyDescent="0.3">
      <c r="A20" s="2"/>
      <c r="B20" s="2"/>
      <c r="C20" s="2"/>
      <c r="D20" s="2"/>
      <c r="E20" s="2"/>
      <c r="F20" s="2"/>
      <c r="G20" s="2"/>
      <c r="H20" s="2"/>
      <c r="I20" s="2"/>
      <c r="J20" s="2"/>
      <c r="K20" s="2"/>
      <c r="L20" s="2"/>
      <c r="M20" s="2"/>
    </row>
    <row r="21" spans="1:13" ht="30" customHeight="1" x14ac:dyDescent="0.3">
      <c r="A21" s="24" t="s">
        <v>226</v>
      </c>
      <c r="B21" s="22"/>
      <c r="C21" s="22"/>
      <c r="D21" s="22"/>
      <c r="E21" s="22"/>
      <c r="F21" s="22"/>
      <c r="G21" s="23"/>
      <c r="H21" s="2"/>
      <c r="I21" s="2"/>
      <c r="J21" s="2"/>
      <c r="K21" s="2"/>
      <c r="L21" s="2"/>
      <c r="M21" s="2"/>
    </row>
    <row r="22" spans="1:13" ht="30" customHeight="1" x14ac:dyDescent="0.3">
      <c r="A22" s="2"/>
      <c r="B22" s="2"/>
      <c r="C22" s="2"/>
      <c r="D22" s="2"/>
      <c r="E22" s="2"/>
      <c r="F22" s="2"/>
      <c r="G22" s="2"/>
      <c r="H22" s="2"/>
      <c r="I22" s="2"/>
      <c r="J22" s="2"/>
      <c r="K22" s="2"/>
      <c r="L22" s="2"/>
      <c r="M22" s="2"/>
    </row>
    <row r="23" spans="1:13" ht="30" customHeight="1" x14ac:dyDescent="0.3">
      <c r="A23" s="13" t="s">
        <v>4</v>
      </c>
      <c r="B23" s="13" t="s">
        <v>217</v>
      </c>
      <c r="C23" s="13" t="s">
        <v>220</v>
      </c>
      <c r="D23" s="13" t="s">
        <v>212</v>
      </c>
      <c r="E23" s="13" t="s">
        <v>227</v>
      </c>
      <c r="F23" s="13" t="s">
        <v>228</v>
      </c>
      <c r="G23" s="13" t="s">
        <v>229</v>
      </c>
      <c r="H23" s="2"/>
      <c r="I23" s="2"/>
      <c r="J23" s="2"/>
      <c r="K23" s="2"/>
      <c r="L23" s="2"/>
      <c r="M23" s="2"/>
    </row>
    <row r="24" spans="1:13" ht="30" customHeight="1" x14ac:dyDescent="0.3">
      <c r="A24" s="14" t="s">
        <v>216</v>
      </c>
      <c r="B24" s="6" t="s">
        <v>230</v>
      </c>
      <c r="C24" s="6" t="s">
        <v>231</v>
      </c>
      <c r="D24" s="16">
        <v>0</v>
      </c>
      <c r="E24" s="16" t="s">
        <v>232</v>
      </c>
      <c r="F24" s="6" t="s">
        <v>233</v>
      </c>
      <c r="G24" s="6" t="s">
        <v>234</v>
      </c>
      <c r="H24" s="2"/>
      <c r="I24" s="2"/>
      <c r="J24" s="2"/>
      <c r="K24" s="2"/>
      <c r="L24" s="2"/>
      <c r="M24" s="2"/>
    </row>
    <row r="25" spans="1:13" ht="30" customHeight="1" x14ac:dyDescent="0.3">
      <c r="A25" s="14" t="s">
        <v>17</v>
      </c>
      <c r="B25" s="6" t="s">
        <v>235</v>
      </c>
      <c r="C25" s="6" t="s">
        <v>236</v>
      </c>
      <c r="D25" s="7">
        <v>3</v>
      </c>
      <c r="E25" s="15" t="s">
        <v>237</v>
      </c>
      <c r="F25" s="6" t="s">
        <v>238</v>
      </c>
      <c r="G25" s="6" t="s">
        <v>239</v>
      </c>
      <c r="H25" s="2"/>
      <c r="I25" s="2"/>
      <c r="J25" s="2"/>
      <c r="K25" s="2"/>
      <c r="L25" s="2"/>
      <c r="M25" s="2"/>
    </row>
    <row r="26" spans="1:13" ht="30" customHeight="1" x14ac:dyDescent="0.3">
      <c r="A26" s="14" t="s">
        <v>186</v>
      </c>
      <c r="B26" s="6" t="s">
        <v>240</v>
      </c>
      <c r="C26" s="6" t="s">
        <v>241</v>
      </c>
      <c r="D26" s="7">
        <v>4</v>
      </c>
      <c r="E26" s="15" t="s">
        <v>242</v>
      </c>
      <c r="F26" s="6" t="s">
        <v>243</v>
      </c>
      <c r="G26" s="6" t="s">
        <v>244</v>
      </c>
      <c r="H26" s="2"/>
      <c r="I26" s="2"/>
      <c r="J26" s="2"/>
      <c r="K26" s="2"/>
      <c r="L26" s="2"/>
      <c r="M26" s="2"/>
    </row>
    <row r="27" spans="1:13" ht="30" customHeight="1" x14ac:dyDescent="0.3">
      <c r="A27" s="14" t="s">
        <v>191</v>
      </c>
      <c r="B27" s="17" t="s">
        <v>245</v>
      </c>
      <c r="C27" s="17" t="s">
        <v>246</v>
      </c>
      <c r="D27" s="7">
        <v>12</v>
      </c>
      <c r="E27" s="15" t="s">
        <v>247</v>
      </c>
      <c r="F27" s="17" t="s">
        <v>1535</v>
      </c>
      <c r="G27" s="6" t="s">
        <v>248</v>
      </c>
      <c r="H27" s="2"/>
      <c r="I27" s="2"/>
      <c r="J27" s="2"/>
      <c r="K27" s="2"/>
      <c r="L27" s="2"/>
      <c r="M27" s="2"/>
    </row>
    <row r="28" spans="1:13" ht="30" customHeight="1" x14ac:dyDescent="0.3">
      <c r="A28" s="14" t="s">
        <v>249</v>
      </c>
      <c r="B28" s="6" t="s">
        <v>250</v>
      </c>
      <c r="C28" s="6" t="s">
        <v>251</v>
      </c>
      <c r="D28" s="7">
        <f>SUM(D24:D27)</f>
        <v>19</v>
      </c>
      <c r="E28" s="15" t="s">
        <v>252</v>
      </c>
      <c r="F28" s="17" t="s">
        <v>1536</v>
      </c>
      <c r="G28" s="6" t="s">
        <v>253</v>
      </c>
      <c r="H28" s="2"/>
      <c r="I28" s="2"/>
      <c r="J28" s="2"/>
      <c r="K28" s="2"/>
      <c r="L28" s="2"/>
      <c r="M28" s="2"/>
    </row>
    <row r="29" spans="1:13" ht="30" customHeight="1" x14ac:dyDescent="0.3">
      <c r="A29" s="2"/>
      <c r="B29" s="2"/>
      <c r="C29" s="2"/>
      <c r="D29" s="2"/>
      <c r="E29" s="2"/>
      <c r="F29" s="2"/>
      <c r="G29" s="2"/>
      <c r="H29" s="2"/>
      <c r="I29" s="2"/>
      <c r="J29" s="2"/>
      <c r="K29" s="2"/>
      <c r="L29" s="2"/>
      <c r="M29" s="2"/>
    </row>
    <row r="30" spans="1:13" ht="30" customHeight="1" x14ac:dyDescent="0.3">
      <c r="A30" s="2"/>
      <c r="B30" s="2"/>
      <c r="C30" s="2"/>
      <c r="D30" s="2"/>
      <c r="E30" s="2"/>
      <c r="F30" s="2"/>
      <c r="G30" s="2"/>
      <c r="H30" s="2"/>
      <c r="I30" s="2"/>
      <c r="J30" s="2"/>
      <c r="K30" s="2"/>
      <c r="L30" s="2"/>
      <c r="M30" s="2"/>
    </row>
    <row r="31" spans="1:13" ht="30" customHeight="1" x14ac:dyDescent="0.3">
      <c r="A31" s="12" t="s">
        <v>254</v>
      </c>
      <c r="B31" s="12" t="s">
        <v>255</v>
      </c>
      <c r="C31" s="3"/>
      <c r="D31" s="3"/>
      <c r="E31" s="3"/>
      <c r="F31" s="3"/>
      <c r="G31" s="3"/>
      <c r="H31" s="2"/>
      <c r="I31" s="2"/>
      <c r="J31" s="2"/>
      <c r="K31" s="2"/>
      <c r="L31" s="2"/>
      <c r="M31" s="2"/>
    </row>
    <row r="32" spans="1:13" ht="30" customHeight="1" x14ac:dyDescent="0.3">
      <c r="A32" s="2"/>
      <c r="B32" s="2"/>
      <c r="C32" s="2"/>
      <c r="D32" s="2"/>
      <c r="E32" s="2"/>
      <c r="F32" s="2"/>
      <c r="G32" s="2"/>
      <c r="H32" s="2"/>
      <c r="I32" s="2"/>
      <c r="J32" s="2"/>
      <c r="K32" s="2"/>
      <c r="L32" s="2"/>
      <c r="M32" s="2"/>
    </row>
    <row r="33" spans="1:13" ht="30" customHeight="1" x14ac:dyDescent="0.3">
      <c r="A33" s="12" t="s">
        <v>256</v>
      </c>
      <c r="B33" s="8" t="s">
        <v>257</v>
      </c>
      <c r="C33" s="6"/>
      <c r="D33" s="2"/>
      <c r="E33" s="2"/>
      <c r="F33" s="2"/>
      <c r="G33" s="2"/>
      <c r="H33" s="2"/>
      <c r="I33" s="2"/>
      <c r="J33" s="2"/>
      <c r="K33" s="2"/>
      <c r="L33" s="2"/>
      <c r="M33" s="2"/>
    </row>
  </sheetData>
  <autoFilter ref="A3:F10" xr:uid="{00000000-0009-0000-0000-000000000000}"/>
  <mergeCells count="3">
    <mergeCell ref="A21:G21"/>
    <mergeCell ref="A1:F1"/>
    <mergeCell ref="A12:G12"/>
  </mergeCells>
  <hyperlinks>
    <hyperlink ref="B33" location="'11_Leyenda_Colores'!A1" display="Ver hoja 11_Leyenda_Colores. Solo cabeceras y celdas de estado/progreso usan color." xr:uid="{00000000-0004-0000-0000-000000000000}"/>
  </hyperlink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
  <sheetViews>
    <sheetView workbookViewId="0">
      <pane ySplit="3" topLeftCell="A4" activePane="bottomLeft" state="frozen"/>
      <selection pane="bottomLeft" sqref="A1:K1"/>
    </sheetView>
  </sheetViews>
  <sheetFormatPr baseColWidth="10" defaultColWidth="9.109375" defaultRowHeight="14.4" x14ac:dyDescent="0.3"/>
  <cols>
    <col min="1" max="1" width="14" customWidth="1"/>
    <col min="2" max="2" width="34" customWidth="1"/>
    <col min="3" max="3" width="44" customWidth="1"/>
    <col min="4" max="4" width="24" customWidth="1"/>
    <col min="5" max="5" width="34" customWidth="1"/>
    <col min="6" max="6" width="54" customWidth="1"/>
    <col min="7" max="7" width="34" customWidth="1"/>
    <col min="8" max="8" width="26" customWidth="1"/>
    <col min="9" max="9" width="54" customWidth="1"/>
    <col min="10" max="10" width="40" customWidth="1"/>
    <col min="11" max="11" width="44" customWidth="1"/>
  </cols>
  <sheetData>
    <row r="1" spans="1:11" ht="24" customHeight="1" x14ac:dyDescent="0.3">
      <c r="A1" s="21" t="s">
        <v>258</v>
      </c>
      <c r="B1" s="22"/>
      <c r="C1" s="22"/>
      <c r="D1" s="22"/>
      <c r="E1" s="22"/>
      <c r="F1" s="22"/>
      <c r="G1" s="22"/>
      <c r="H1" s="22"/>
      <c r="I1" s="22"/>
      <c r="J1" s="22"/>
      <c r="K1" s="23"/>
    </row>
    <row r="2" spans="1:11" ht="27.9" customHeight="1" x14ac:dyDescent="0.3"/>
    <row r="3" spans="1:11" ht="27.9" customHeight="1" x14ac:dyDescent="0.3">
      <c r="A3" s="12" t="s">
        <v>259</v>
      </c>
      <c r="B3" s="1"/>
      <c r="C3" s="1"/>
      <c r="D3" s="1"/>
      <c r="E3" s="1"/>
      <c r="F3" s="1"/>
      <c r="G3" s="1"/>
      <c r="H3" s="1"/>
      <c r="I3" s="1"/>
      <c r="J3" s="1"/>
      <c r="K3" s="1"/>
    </row>
    <row r="4" spans="1:11" ht="27.9" customHeight="1" x14ac:dyDescent="0.3">
      <c r="A4" s="13" t="s">
        <v>2</v>
      </c>
      <c r="B4" s="13" t="s">
        <v>260</v>
      </c>
      <c r="C4" s="13" t="s">
        <v>171</v>
      </c>
      <c r="D4" s="13" t="s">
        <v>6</v>
      </c>
      <c r="E4" s="13" t="s">
        <v>261</v>
      </c>
      <c r="F4" s="13" t="s">
        <v>262</v>
      </c>
      <c r="G4" s="13" t="s">
        <v>263</v>
      </c>
      <c r="H4" s="13" t="s">
        <v>11</v>
      </c>
      <c r="I4" s="13" t="s">
        <v>264</v>
      </c>
      <c r="J4" s="13" t="s">
        <v>265</v>
      </c>
      <c r="K4" s="13" t="s">
        <v>266</v>
      </c>
    </row>
    <row r="5" spans="1:11" ht="27.9" customHeight="1" x14ac:dyDescent="0.3">
      <c r="A5" s="14" t="s">
        <v>267</v>
      </c>
      <c r="B5" s="9" t="s">
        <v>268</v>
      </c>
      <c r="C5" s="9" t="s">
        <v>269</v>
      </c>
      <c r="D5" s="9" t="s">
        <v>270</v>
      </c>
      <c r="E5" s="9" t="s">
        <v>17</v>
      </c>
      <c r="F5" s="9" t="s">
        <v>271</v>
      </c>
      <c r="G5" s="9" t="s">
        <v>272</v>
      </c>
      <c r="H5" s="9" t="s">
        <v>273</v>
      </c>
      <c r="I5" s="9" t="s">
        <v>274</v>
      </c>
      <c r="J5" s="9" t="s">
        <v>275</v>
      </c>
      <c r="K5" s="9" t="s">
        <v>276</v>
      </c>
    </row>
    <row r="6" spans="1:11" ht="27.9" customHeight="1" x14ac:dyDescent="0.3">
      <c r="A6" s="14" t="s">
        <v>277</v>
      </c>
      <c r="B6" s="9" t="s">
        <v>278</v>
      </c>
      <c r="C6" s="9" t="s">
        <v>279</v>
      </c>
      <c r="D6" s="9" t="s">
        <v>48</v>
      </c>
      <c r="E6" s="9" t="s">
        <v>17</v>
      </c>
      <c r="F6" s="9" t="s">
        <v>280</v>
      </c>
      <c r="G6" s="9" t="s">
        <v>281</v>
      </c>
      <c r="H6" s="9" t="s">
        <v>282</v>
      </c>
      <c r="I6" s="9" t="s">
        <v>283</v>
      </c>
      <c r="J6" s="9" t="s">
        <v>284</v>
      </c>
      <c r="K6" s="9" t="s">
        <v>285</v>
      </c>
    </row>
    <row r="7" spans="1:11" ht="27.9" customHeight="1" x14ac:dyDescent="0.3">
      <c r="A7" s="14" t="s">
        <v>286</v>
      </c>
      <c r="B7" s="9" t="s">
        <v>287</v>
      </c>
      <c r="C7" s="9" t="s">
        <v>288</v>
      </c>
      <c r="D7" s="9" t="s">
        <v>289</v>
      </c>
      <c r="E7" s="9" t="s">
        <v>290</v>
      </c>
      <c r="F7" s="9" t="s">
        <v>291</v>
      </c>
      <c r="G7" s="9" t="s">
        <v>292</v>
      </c>
      <c r="H7" s="9" t="s">
        <v>293</v>
      </c>
      <c r="I7" s="9" t="s">
        <v>294</v>
      </c>
      <c r="J7" s="9" t="s">
        <v>295</v>
      </c>
      <c r="K7" s="9" t="s">
        <v>296</v>
      </c>
    </row>
    <row r="8" spans="1:11" ht="27.9" customHeight="1" x14ac:dyDescent="0.3">
      <c r="A8" s="14" t="s">
        <v>297</v>
      </c>
      <c r="B8" s="9" t="s">
        <v>298</v>
      </c>
      <c r="C8" s="9" t="s">
        <v>299</v>
      </c>
      <c r="D8" s="9" t="s">
        <v>300</v>
      </c>
      <c r="E8" s="9" t="s">
        <v>301</v>
      </c>
      <c r="F8" s="9" t="s">
        <v>302</v>
      </c>
      <c r="G8" s="9" t="s">
        <v>303</v>
      </c>
      <c r="H8" s="9" t="s">
        <v>293</v>
      </c>
      <c r="I8" s="9" t="s">
        <v>274</v>
      </c>
      <c r="J8" s="9" t="s">
        <v>304</v>
      </c>
      <c r="K8" s="9" t="s">
        <v>305</v>
      </c>
    </row>
    <row r="9" spans="1:11" ht="27.9" customHeight="1" x14ac:dyDescent="0.3">
      <c r="A9" s="14" t="s">
        <v>306</v>
      </c>
      <c r="B9" s="9" t="s">
        <v>307</v>
      </c>
      <c r="C9" s="9" t="s">
        <v>308</v>
      </c>
      <c r="D9" s="9" t="s">
        <v>309</v>
      </c>
      <c r="E9" s="9" t="s">
        <v>301</v>
      </c>
      <c r="F9" s="9" t="s">
        <v>310</v>
      </c>
      <c r="G9" s="9" t="s">
        <v>311</v>
      </c>
      <c r="H9" s="9" t="s">
        <v>312</v>
      </c>
      <c r="I9" s="9" t="s">
        <v>274</v>
      </c>
      <c r="J9" s="9" t="s">
        <v>313</v>
      </c>
      <c r="K9" s="9" t="s">
        <v>314</v>
      </c>
    </row>
    <row r="10" spans="1:11" ht="27.9" customHeight="1" x14ac:dyDescent="0.3">
      <c r="A10" s="14" t="s">
        <v>315</v>
      </c>
      <c r="B10" s="9" t="s">
        <v>316</v>
      </c>
      <c r="C10" s="9" t="s">
        <v>317</v>
      </c>
      <c r="D10" s="9" t="s">
        <v>318</v>
      </c>
      <c r="E10" s="9" t="s">
        <v>319</v>
      </c>
      <c r="F10" s="9" t="s">
        <v>320</v>
      </c>
      <c r="G10" s="9" t="s">
        <v>321</v>
      </c>
      <c r="H10" s="9" t="s">
        <v>322</v>
      </c>
      <c r="I10" s="9" t="s">
        <v>274</v>
      </c>
      <c r="J10" s="9" t="s">
        <v>323</v>
      </c>
      <c r="K10" s="9" t="s">
        <v>324</v>
      </c>
    </row>
    <row r="11" spans="1:11" ht="27.9" customHeight="1" x14ac:dyDescent="0.3">
      <c r="A11" s="14" t="s">
        <v>325</v>
      </c>
      <c r="B11" s="9" t="s">
        <v>326</v>
      </c>
      <c r="C11" s="9" t="s">
        <v>327</v>
      </c>
      <c r="D11" s="9" t="s">
        <v>19</v>
      </c>
      <c r="E11" s="9" t="s">
        <v>328</v>
      </c>
      <c r="F11" s="9" t="s">
        <v>329</v>
      </c>
      <c r="G11" s="9" t="s">
        <v>330</v>
      </c>
      <c r="H11" s="9" t="s">
        <v>293</v>
      </c>
      <c r="I11" s="9" t="s">
        <v>274</v>
      </c>
      <c r="J11" s="9" t="s">
        <v>331</v>
      </c>
      <c r="K11" s="9" t="s">
        <v>332</v>
      </c>
    </row>
    <row r="12" spans="1:11" ht="27.9" customHeight="1" x14ac:dyDescent="0.3">
      <c r="A12" s="14" t="s">
        <v>333</v>
      </c>
      <c r="B12" s="9" t="s">
        <v>334</v>
      </c>
      <c r="C12" s="9" t="s">
        <v>335</v>
      </c>
      <c r="D12" s="9" t="s">
        <v>336</v>
      </c>
      <c r="E12" s="9" t="s">
        <v>337</v>
      </c>
      <c r="F12" s="9" t="s">
        <v>338</v>
      </c>
      <c r="G12" s="9" t="s">
        <v>339</v>
      </c>
      <c r="H12" s="9" t="s">
        <v>293</v>
      </c>
      <c r="I12" s="9" t="s">
        <v>274</v>
      </c>
      <c r="J12" s="9" t="s">
        <v>340</v>
      </c>
      <c r="K12" s="9" t="s">
        <v>341</v>
      </c>
    </row>
    <row r="13" spans="1:11" ht="27.9" customHeight="1" x14ac:dyDescent="0.3">
      <c r="A13" s="14" t="s">
        <v>342</v>
      </c>
      <c r="B13" s="9" t="s">
        <v>343</v>
      </c>
      <c r="C13" s="9" t="s">
        <v>344</v>
      </c>
      <c r="D13" s="9" t="s">
        <v>345</v>
      </c>
      <c r="E13" s="9" t="s">
        <v>346</v>
      </c>
      <c r="F13" s="9" t="s">
        <v>347</v>
      </c>
      <c r="G13" s="9" t="s">
        <v>348</v>
      </c>
      <c r="H13" s="9" t="s">
        <v>349</v>
      </c>
      <c r="I13" s="9" t="s">
        <v>350</v>
      </c>
      <c r="J13" s="9" t="s">
        <v>351</v>
      </c>
      <c r="K13" s="9" t="s">
        <v>352</v>
      </c>
    </row>
    <row r="14" spans="1:11" ht="27.9" customHeight="1" x14ac:dyDescent="0.3">
      <c r="A14" s="14" t="s">
        <v>353</v>
      </c>
      <c r="B14" s="9" t="s">
        <v>354</v>
      </c>
      <c r="C14" s="9" t="s">
        <v>355</v>
      </c>
      <c r="D14" s="9" t="s">
        <v>356</v>
      </c>
      <c r="E14" s="9" t="s">
        <v>186</v>
      </c>
      <c r="F14" s="9" t="s">
        <v>357</v>
      </c>
      <c r="G14" s="9" t="s">
        <v>358</v>
      </c>
      <c r="H14" s="9" t="s">
        <v>293</v>
      </c>
      <c r="I14" s="9" t="s">
        <v>274</v>
      </c>
      <c r="J14" s="9" t="s">
        <v>359</v>
      </c>
      <c r="K14" s="9" t="s">
        <v>360</v>
      </c>
    </row>
    <row r="15" spans="1:11" ht="27.9" customHeight="1" x14ac:dyDescent="0.3">
      <c r="A15" s="14" t="s">
        <v>361</v>
      </c>
      <c r="B15" s="9" t="s">
        <v>362</v>
      </c>
      <c r="C15" s="9" t="s">
        <v>363</v>
      </c>
      <c r="D15" s="9" t="s">
        <v>364</v>
      </c>
      <c r="E15" s="9" t="s">
        <v>365</v>
      </c>
      <c r="F15" s="9" t="s">
        <v>366</v>
      </c>
      <c r="G15" s="9" t="s">
        <v>367</v>
      </c>
      <c r="H15" s="9" t="s">
        <v>368</v>
      </c>
      <c r="I15" s="9" t="s">
        <v>274</v>
      </c>
      <c r="J15" s="9" t="s">
        <v>369</v>
      </c>
      <c r="K15" s="9" t="s">
        <v>370</v>
      </c>
    </row>
    <row r="16" spans="1:11" ht="27.9" customHeight="1" x14ac:dyDescent="0.3">
      <c r="A16" s="14" t="s">
        <v>371</v>
      </c>
      <c r="B16" s="9" t="s">
        <v>372</v>
      </c>
      <c r="C16" s="9" t="s">
        <v>373</v>
      </c>
      <c r="D16" s="9" t="s">
        <v>19</v>
      </c>
      <c r="E16" s="9" t="s">
        <v>374</v>
      </c>
      <c r="F16" s="9" t="s">
        <v>375</v>
      </c>
      <c r="G16" s="9" t="s">
        <v>376</v>
      </c>
      <c r="H16" s="9" t="s">
        <v>377</v>
      </c>
      <c r="I16" s="9" t="s">
        <v>294</v>
      </c>
      <c r="J16" s="9" t="s">
        <v>378</v>
      </c>
      <c r="K16" s="9" t="s">
        <v>379</v>
      </c>
    </row>
    <row r="17" spans="1:11" ht="27.9" customHeight="1" x14ac:dyDescent="0.3">
      <c r="A17" s="14" t="s">
        <v>380</v>
      </c>
      <c r="B17" s="9" t="s">
        <v>381</v>
      </c>
      <c r="C17" s="9" t="s">
        <v>382</v>
      </c>
      <c r="D17" s="9" t="s">
        <v>383</v>
      </c>
      <c r="E17" s="9" t="s">
        <v>384</v>
      </c>
      <c r="F17" s="9" t="s">
        <v>385</v>
      </c>
      <c r="G17" s="9" t="s">
        <v>386</v>
      </c>
      <c r="H17" s="9" t="s">
        <v>387</v>
      </c>
      <c r="I17" s="9" t="s">
        <v>274</v>
      </c>
      <c r="J17" s="9" t="s">
        <v>388</v>
      </c>
      <c r="K17" s="9" t="s">
        <v>389</v>
      </c>
    </row>
    <row r="18" spans="1:11" ht="27.9" customHeight="1" x14ac:dyDescent="0.3">
      <c r="A18" s="14" t="s">
        <v>390</v>
      </c>
      <c r="B18" s="9" t="s">
        <v>391</v>
      </c>
      <c r="C18" s="9" t="s">
        <v>392</v>
      </c>
      <c r="D18" s="9" t="s">
        <v>393</v>
      </c>
      <c r="E18" s="9" t="s">
        <v>394</v>
      </c>
      <c r="F18" s="9" t="s">
        <v>395</v>
      </c>
      <c r="G18" s="9" t="s">
        <v>396</v>
      </c>
      <c r="H18" s="9" t="s">
        <v>397</v>
      </c>
      <c r="I18" s="9" t="s">
        <v>274</v>
      </c>
      <c r="J18" s="9" t="s">
        <v>398</v>
      </c>
      <c r="K18" s="9" t="s">
        <v>399</v>
      </c>
    </row>
  </sheetData>
  <mergeCells count="1">
    <mergeCell ref="A1:K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3" topLeftCell="A4" activePane="bottomLeft" state="frozen"/>
      <selection pane="bottomLeft" activeCell="B12" sqref="B12"/>
    </sheetView>
  </sheetViews>
  <sheetFormatPr baseColWidth="10" defaultColWidth="9.109375" defaultRowHeight="14.4" x14ac:dyDescent="0.3"/>
  <cols>
    <col min="1" max="2" width="55" customWidth="1"/>
    <col min="3" max="3" width="40" customWidth="1"/>
    <col min="4" max="4" width="41" customWidth="1"/>
    <col min="5" max="5" width="33" customWidth="1"/>
    <col min="6" max="6" width="45" customWidth="1"/>
    <col min="7" max="9" width="55" customWidth="1"/>
    <col min="10" max="10" width="37" customWidth="1"/>
    <col min="11" max="13" width="55" customWidth="1"/>
  </cols>
  <sheetData>
    <row r="1" spans="1:13" ht="24" customHeight="1" x14ac:dyDescent="0.3">
      <c r="A1" s="21" t="s">
        <v>400</v>
      </c>
      <c r="B1" s="22"/>
      <c r="C1" s="22"/>
      <c r="D1" s="22"/>
      <c r="E1" s="22"/>
      <c r="F1" s="22"/>
      <c r="G1" s="22"/>
      <c r="H1" s="22"/>
      <c r="I1" s="22"/>
      <c r="J1" s="22"/>
      <c r="K1" s="22"/>
      <c r="L1" s="22"/>
      <c r="M1" s="23"/>
    </row>
    <row r="2" spans="1:13" ht="27.9" customHeight="1" x14ac:dyDescent="0.3"/>
    <row r="3" spans="1:13" ht="27.9" customHeight="1" x14ac:dyDescent="0.3">
      <c r="A3" s="12" t="s">
        <v>401</v>
      </c>
      <c r="B3" s="1"/>
      <c r="C3" s="1"/>
      <c r="D3" s="1"/>
      <c r="E3" s="1"/>
      <c r="F3" s="1"/>
      <c r="G3" s="1"/>
      <c r="H3" s="1"/>
      <c r="I3" s="1"/>
      <c r="J3" s="1"/>
      <c r="K3" s="1"/>
      <c r="L3" s="1"/>
      <c r="M3" s="1"/>
    </row>
    <row r="4" spans="1:13" ht="27.9" customHeight="1" x14ac:dyDescent="0.3">
      <c r="A4" s="13" t="s">
        <v>2</v>
      </c>
      <c r="B4" s="13" t="s">
        <v>3</v>
      </c>
      <c r="C4" s="13" t="s">
        <v>4</v>
      </c>
      <c r="D4" s="13" t="s">
        <v>5</v>
      </c>
      <c r="E4" s="13" t="s">
        <v>6</v>
      </c>
      <c r="F4" s="13" t="s">
        <v>7</v>
      </c>
      <c r="G4" s="13" t="s">
        <v>8</v>
      </c>
      <c r="H4" s="13" t="s">
        <v>9</v>
      </c>
      <c r="I4" s="13" t="s">
        <v>10</v>
      </c>
      <c r="J4" s="13" t="s">
        <v>11</v>
      </c>
      <c r="K4" s="13" t="s">
        <v>12</v>
      </c>
      <c r="L4" s="13" t="s">
        <v>13</v>
      </c>
      <c r="M4" s="13" t="s">
        <v>14</v>
      </c>
    </row>
    <row r="5" spans="1:13" ht="27.9" customHeight="1" x14ac:dyDescent="0.3">
      <c r="A5" s="9" t="s">
        <v>402</v>
      </c>
      <c r="B5" s="9" t="s">
        <v>403</v>
      </c>
      <c r="C5" s="9" t="s">
        <v>216</v>
      </c>
      <c r="D5" s="9" t="s">
        <v>404</v>
      </c>
      <c r="E5" s="9" t="s">
        <v>318</v>
      </c>
      <c r="F5" s="9" t="s">
        <v>405</v>
      </c>
      <c r="G5" s="9" t="s">
        <v>406</v>
      </c>
      <c r="H5" s="9" t="s">
        <v>407</v>
      </c>
      <c r="I5" s="9" t="s">
        <v>408</v>
      </c>
      <c r="J5" s="4" t="s">
        <v>409</v>
      </c>
      <c r="K5" s="9" t="s">
        <v>274</v>
      </c>
      <c r="L5" s="9" t="s">
        <v>410</v>
      </c>
      <c r="M5" s="9" t="s">
        <v>411</v>
      </c>
    </row>
    <row r="6" spans="1:13" ht="27.9" customHeight="1" x14ac:dyDescent="0.3">
      <c r="A6" s="9" t="s">
        <v>412</v>
      </c>
      <c r="B6" s="9" t="s">
        <v>413</v>
      </c>
      <c r="C6" s="9" t="s">
        <v>346</v>
      </c>
      <c r="D6" s="9" t="s">
        <v>414</v>
      </c>
      <c r="E6" s="9" t="s">
        <v>415</v>
      </c>
      <c r="F6" s="9" t="s">
        <v>416</v>
      </c>
      <c r="G6" s="9" t="s">
        <v>417</v>
      </c>
      <c r="H6" s="9" t="s">
        <v>418</v>
      </c>
      <c r="I6" s="9" t="s">
        <v>419</v>
      </c>
      <c r="J6" s="4" t="s">
        <v>420</v>
      </c>
      <c r="K6" s="9" t="s">
        <v>421</v>
      </c>
      <c r="L6" s="9" t="s">
        <v>422</v>
      </c>
      <c r="M6" s="9" t="s">
        <v>423</v>
      </c>
    </row>
    <row r="7" spans="1:13" ht="27.9" customHeight="1" x14ac:dyDescent="0.3">
      <c r="A7" s="9" t="s">
        <v>424</v>
      </c>
      <c r="B7" s="9" t="s">
        <v>425</v>
      </c>
      <c r="C7" s="9" t="s">
        <v>346</v>
      </c>
      <c r="D7" s="9" t="s">
        <v>426</v>
      </c>
      <c r="E7" s="9" t="s">
        <v>356</v>
      </c>
      <c r="F7" s="9" t="s">
        <v>427</v>
      </c>
      <c r="G7" s="9" t="s">
        <v>428</v>
      </c>
      <c r="H7" s="9" t="s">
        <v>429</v>
      </c>
      <c r="I7" s="9" t="s">
        <v>430</v>
      </c>
      <c r="J7" s="4" t="s">
        <v>431</v>
      </c>
      <c r="K7" s="9" t="s">
        <v>274</v>
      </c>
      <c r="L7" s="9" t="s">
        <v>422</v>
      </c>
      <c r="M7" s="9" t="s">
        <v>432</v>
      </c>
    </row>
    <row r="8" spans="1:13" ht="27.9" customHeight="1" x14ac:dyDescent="0.3">
      <c r="A8" s="9" t="s">
        <v>433</v>
      </c>
      <c r="B8" s="9" t="s">
        <v>434</v>
      </c>
      <c r="C8" s="9" t="s">
        <v>435</v>
      </c>
      <c r="D8" s="9" t="s">
        <v>414</v>
      </c>
      <c r="E8" s="9" t="s">
        <v>436</v>
      </c>
      <c r="F8" s="9" t="s">
        <v>437</v>
      </c>
      <c r="G8" s="9" t="s">
        <v>438</v>
      </c>
      <c r="H8" s="9" t="s">
        <v>439</v>
      </c>
      <c r="I8" s="9" t="s">
        <v>440</v>
      </c>
      <c r="J8" s="4" t="s">
        <v>441</v>
      </c>
      <c r="K8" s="9" t="s">
        <v>52</v>
      </c>
      <c r="L8" s="9" t="s">
        <v>442</v>
      </c>
      <c r="M8" s="9" t="s">
        <v>443</v>
      </c>
    </row>
    <row r="9" spans="1:13" ht="27.9" customHeight="1" x14ac:dyDescent="0.3">
      <c r="A9" s="9" t="s">
        <v>444</v>
      </c>
      <c r="B9" s="9" t="s">
        <v>445</v>
      </c>
      <c r="C9" s="9" t="s">
        <v>446</v>
      </c>
      <c r="D9" s="9" t="s">
        <v>447</v>
      </c>
      <c r="E9" s="9" t="s">
        <v>19</v>
      </c>
      <c r="F9" s="9" t="s">
        <v>448</v>
      </c>
      <c r="G9" s="9" t="s">
        <v>449</v>
      </c>
      <c r="H9" s="9" t="s">
        <v>450</v>
      </c>
      <c r="I9" s="9" t="s">
        <v>451</v>
      </c>
      <c r="J9" s="4" t="s">
        <v>409</v>
      </c>
      <c r="K9" s="9" t="s">
        <v>25</v>
      </c>
      <c r="L9" s="9" t="s">
        <v>452</v>
      </c>
      <c r="M9" s="9" t="s">
        <v>453</v>
      </c>
    </row>
    <row r="10" spans="1:13" ht="27.9" customHeight="1" x14ac:dyDescent="0.3">
      <c r="A10" s="9" t="s">
        <v>454</v>
      </c>
      <c r="B10" s="9" t="s">
        <v>455</v>
      </c>
      <c r="C10" s="9" t="s">
        <v>456</v>
      </c>
      <c r="D10" s="9" t="s">
        <v>457</v>
      </c>
      <c r="E10" s="9" t="s">
        <v>458</v>
      </c>
      <c r="F10" s="9" t="s">
        <v>459</v>
      </c>
      <c r="G10" s="9" t="s">
        <v>460</v>
      </c>
      <c r="H10" s="9" t="s">
        <v>461</v>
      </c>
      <c r="I10" s="9" t="s">
        <v>462</v>
      </c>
      <c r="J10" s="4" t="s">
        <v>463</v>
      </c>
      <c r="K10" s="9" t="s">
        <v>25</v>
      </c>
      <c r="L10" s="9" t="s">
        <v>464</v>
      </c>
      <c r="M10" s="9" t="s">
        <v>465</v>
      </c>
    </row>
    <row r="11" spans="1:13" ht="27.9" customHeight="1" x14ac:dyDescent="0.3">
      <c r="A11" s="9" t="s">
        <v>466</v>
      </c>
      <c r="B11" s="9" t="s">
        <v>467</v>
      </c>
      <c r="C11" s="9" t="s">
        <v>346</v>
      </c>
      <c r="D11" s="9" t="s">
        <v>468</v>
      </c>
      <c r="E11" s="9" t="s">
        <v>415</v>
      </c>
      <c r="F11" s="9" t="s">
        <v>469</v>
      </c>
      <c r="G11" s="9" t="s">
        <v>470</v>
      </c>
      <c r="H11" s="9" t="s">
        <v>471</v>
      </c>
      <c r="I11" s="9" t="s">
        <v>472</v>
      </c>
      <c r="J11" s="4" t="s">
        <v>441</v>
      </c>
      <c r="K11" s="9" t="s">
        <v>52</v>
      </c>
      <c r="L11" s="9" t="s">
        <v>473</v>
      </c>
      <c r="M11" s="9" t="s">
        <v>474</v>
      </c>
    </row>
    <row r="12" spans="1:13" ht="120" customHeight="1" x14ac:dyDescent="0.3">
      <c r="A12" s="9" t="s">
        <v>475</v>
      </c>
      <c r="B12" s="9" t="s">
        <v>476</v>
      </c>
      <c r="C12" s="9" t="s">
        <v>346</v>
      </c>
      <c r="D12" s="9" t="s">
        <v>477</v>
      </c>
      <c r="E12" s="9" t="s">
        <v>478</v>
      </c>
      <c r="F12" s="9" t="s">
        <v>479</v>
      </c>
      <c r="G12" s="9" t="s">
        <v>480</v>
      </c>
      <c r="H12" s="9" t="s">
        <v>481</v>
      </c>
      <c r="I12" s="9" t="s">
        <v>482</v>
      </c>
      <c r="J12" s="5" t="s">
        <v>483</v>
      </c>
      <c r="K12" s="9" t="s">
        <v>484</v>
      </c>
      <c r="L12" s="9" t="s">
        <v>485</v>
      </c>
      <c r="M12" s="9" t="s">
        <v>486</v>
      </c>
    </row>
  </sheetData>
  <autoFilter ref="A1:M11" xr:uid="{00000000-0009-0000-0000-000002000000}"/>
  <mergeCells count="1">
    <mergeCell ref="A1:M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6"/>
  <sheetViews>
    <sheetView workbookViewId="0">
      <pane ySplit="3" topLeftCell="A4" activePane="bottomLeft" state="frozen"/>
      <selection pane="bottomLeft" sqref="A1:M1"/>
    </sheetView>
  </sheetViews>
  <sheetFormatPr baseColWidth="10" defaultColWidth="9.109375" defaultRowHeight="14.4" x14ac:dyDescent="0.3"/>
  <cols>
    <col min="1" max="1" width="42" customWidth="1"/>
    <col min="2" max="2" width="55" customWidth="1"/>
    <col min="3" max="3" width="12" customWidth="1"/>
    <col min="4" max="4" width="20" customWidth="1"/>
    <col min="5" max="5" width="26" customWidth="1"/>
    <col min="6" max="9" width="55" customWidth="1"/>
    <col min="10" max="10" width="18" customWidth="1"/>
    <col min="11" max="11" width="40" customWidth="1"/>
    <col min="12" max="12" width="55" customWidth="1"/>
    <col min="13" max="13" width="26" customWidth="1"/>
  </cols>
  <sheetData>
    <row r="1" spans="1:13" ht="24" customHeight="1" x14ac:dyDescent="0.3">
      <c r="A1" s="21" t="s">
        <v>487</v>
      </c>
      <c r="B1" s="22"/>
      <c r="C1" s="22"/>
      <c r="D1" s="22"/>
      <c r="E1" s="22"/>
      <c r="F1" s="22"/>
      <c r="G1" s="22"/>
      <c r="H1" s="22"/>
      <c r="I1" s="22"/>
      <c r="J1" s="22"/>
      <c r="K1" s="22"/>
      <c r="L1" s="22"/>
      <c r="M1" s="23"/>
    </row>
    <row r="2" spans="1:13" ht="27.9" customHeight="1" x14ac:dyDescent="0.3"/>
    <row r="3" spans="1:13" ht="27.9" customHeight="1" x14ac:dyDescent="0.3">
      <c r="A3" s="12" t="s">
        <v>488</v>
      </c>
      <c r="B3" s="1"/>
      <c r="C3" s="1"/>
      <c r="D3" s="1"/>
      <c r="E3" s="1"/>
      <c r="F3" s="1"/>
      <c r="G3" s="1"/>
      <c r="H3" s="1"/>
      <c r="I3" s="1"/>
      <c r="J3" s="1"/>
      <c r="K3" s="1"/>
      <c r="L3" s="1"/>
      <c r="M3" s="1"/>
    </row>
    <row r="4" spans="1:13" ht="27.9" customHeight="1" x14ac:dyDescent="0.3">
      <c r="A4" s="13" t="s">
        <v>2</v>
      </c>
      <c r="B4" s="13" t="s">
        <v>3</v>
      </c>
      <c r="C4" s="13" t="s">
        <v>4</v>
      </c>
      <c r="D4" s="13" t="s">
        <v>5</v>
      </c>
      <c r="E4" s="13" t="s">
        <v>6</v>
      </c>
      <c r="F4" s="13" t="s">
        <v>7</v>
      </c>
      <c r="G4" s="13" t="s">
        <v>8</v>
      </c>
      <c r="H4" s="13" t="s">
        <v>9</v>
      </c>
      <c r="I4" s="13" t="s">
        <v>10</v>
      </c>
      <c r="J4" s="13" t="s">
        <v>11</v>
      </c>
      <c r="K4" s="13" t="s">
        <v>12</v>
      </c>
      <c r="L4" s="13" t="s">
        <v>13</v>
      </c>
      <c r="M4" s="13" t="s">
        <v>14</v>
      </c>
    </row>
    <row r="5" spans="1:13" ht="27.9" customHeight="1" x14ac:dyDescent="0.3">
      <c r="A5" s="14" t="s">
        <v>489</v>
      </c>
      <c r="B5" s="14" t="s">
        <v>490</v>
      </c>
      <c r="C5" s="14" t="s">
        <v>216</v>
      </c>
      <c r="D5" s="14" t="s">
        <v>491</v>
      </c>
      <c r="E5" s="14" t="s">
        <v>492</v>
      </c>
      <c r="F5" s="14" t="s">
        <v>493</v>
      </c>
      <c r="G5" s="14" t="s">
        <v>494</v>
      </c>
      <c r="H5" s="14" t="s">
        <v>495</v>
      </c>
      <c r="I5" s="14" t="s">
        <v>496</v>
      </c>
      <c r="J5" s="18" t="s">
        <v>497</v>
      </c>
      <c r="K5" s="14" t="s">
        <v>484</v>
      </c>
      <c r="L5" s="14" t="s">
        <v>410</v>
      </c>
      <c r="M5" s="14" t="s">
        <v>498</v>
      </c>
    </row>
    <row r="6" spans="1:13" ht="27.9" customHeight="1" x14ac:dyDescent="0.3">
      <c r="A6" s="14" t="s">
        <v>499</v>
      </c>
      <c r="B6" s="14" t="s">
        <v>500</v>
      </c>
      <c r="C6" s="14" t="s">
        <v>216</v>
      </c>
      <c r="D6" s="14" t="s">
        <v>501</v>
      </c>
      <c r="E6" s="14" t="s">
        <v>492</v>
      </c>
      <c r="F6" s="14" t="s">
        <v>502</v>
      </c>
      <c r="G6" s="14" t="s">
        <v>503</v>
      </c>
      <c r="H6" s="14" t="s">
        <v>504</v>
      </c>
      <c r="I6" s="14" t="s">
        <v>505</v>
      </c>
      <c r="J6" s="18" t="s">
        <v>506</v>
      </c>
      <c r="K6" s="14" t="s">
        <v>484</v>
      </c>
      <c r="L6" s="14" t="s">
        <v>410</v>
      </c>
      <c r="M6" s="14" t="s">
        <v>507</v>
      </c>
    </row>
    <row r="7" spans="1:13" ht="27.9" customHeight="1" x14ac:dyDescent="0.3">
      <c r="A7" s="14" t="s">
        <v>508</v>
      </c>
      <c r="B7" s="14" t="s">
        <v>509</v>
      </c>
      <c r="C7" s="14" t="s">
        <v>216</v>
      </c>
      <c r="D7" s="14" t="s">
        <v>501</v>
      </c>
      <c r="E7" s="14" t="s">
        <v>492</v>
      </c>
      <c r="F7" s="14" t="s">
        <v>510</v>
      </c>
      <c r="G7" s="14" t="s">
        <v>511</v>
      </c>
      <c r="H7" s="14" t="s">
        <v>512</v>
      </c>
      <c r="I7" s="14" t="s">
        <v>513</v>
      </c>
      <c r="J7" s="18" t="s">
        <v>506</v>
      </c>
      <c r="K7" s="14" t="s">
        <v>484</v>
      </c>
      <c r="L7" s="14" t="s">
        <v>410</v>
      </c>
      <c r="M7" s="14" t="s">
        <v>507</v>
      </c>
    </row>
    <row r="8" spans="1:13" ht="27.9" customHeight="1" x14ac:dyDescent="0.3">
      <c r="A8" s="14" t="s">
        <v>514</v>
      </c>
      <c r="B8" s="14" t="s">
        <v>515</v>
      </c>
      <c r="C8" s="14" t="s">
        <v>216</v>
      </c>
      <c r="D8" s="14" t="s">
        <v>501</v>
      </c>
      <c r="E8" s="14" t="s">
        <v>492</v>
      </c>
      <c r="F8" s="14" t="s">
        <v>516</v>
      </c>
      <c r="G8" s="14" t="s">
        <v>517</v>
      </c>
      <c r="H8" s="14" t="s">
        <v>518</v>
      </c>
      <c r="I8" s="14" t="s">
        <v>519</v>
      </c>
      <c r="J8" s="18" t="s">
        <v>506</v>
      </c>
      <c r="K8" s="14" t="s">
        <v>484</v>
      </c>
      <c r="L8" s="14" t="s">
        <v>410</v>
      </c>
      <c r="M8" s="14" t="s">
        <v>507</v>
      </c>
    </row>
    <row r="9" spans="1:13" ht="27.9" customHeight="1" x14ac:dyDescent="0.3">
      <c r="A9" s="14" t="s">
        <v>520</v>
      </c>
      <c r="B9" s="14" t="s">
        <v>521</v>
      </c>
      <c r="C9" s="14" t="s">
        <v>216</v>
      </c>
      <c r="D9" s="14" t="s">
        <v>501</v>
      </c>
      <c r="E9" s="14" t="s">
        <v>492</v>
      </c>
      <c r="F9" s="14" t="s">
        <v>522</v>
      </c>
      <c r="G9" s="14" t="s">
        <v>523</v>
      </c>
      <c r="H9" s="14" t="s">
        <v>524</v>
      </c>
      <c r="I9" s="14" t="s">
        <v>525</v>
      </c>
      <c r="J9" s="18" t="s">
        <v>497</v>
      </c>
      <c r="K9" s="14" t="s">
        <v>484</v>
      </c>
      <c r="L9" s="14" t="s">
        <v>410</v>
      </c>
      <c r="M9" s="14" t="s">
        <v>526</v>
      </c>
    </row>
    <row r="10" spans="1:13" ht="27.9" customHeight="1" x14ac:dyDescent="0.3">
      <c r="A10" s="14" t="s">
        <v>527</v>
      </c>
      <c r="B10" s="14" t="s">
        <v>528</v>
      </c>
      <c r="C10" s="14" t="s">
        <v>216</v>
      </c>
      <c r="D10" s="14" t="s">
        <v>529</v>
      </c>
      <c r="E10" s="14" t="s">
        <v>492</v>
      </c>
      <c r="F10" s="14" t="s">
        <v>530</v>
      </c>
      <c r="G10" s="14" t="s">
        <v>531</v>
      </c>
      <c r="H10" s="14" t="s">
        <v>532</v>
      </c>
      <c r="I10" s="14" t="s">
        <v>533</v>
      </c>
      <c r="J10" s="18" t="s">
        <v>506</v>
      </c>
      <c r="K10" s="14" t="s">
        <v>484</v>
      </c>
      <c r="L10" s="14" t="s">
        <v>410</v>
      </c>
      <c r="M10" s="14" t="s">
        <v>507</v>
      </c>
    </row>
    <row r="11" spans="1:13" ht="27.9" customHeight="1" x14ac:dyDescent="0.3">
      <c r="A11" s="14" t="s">
        <v>534</v>
      </c>
      <c r="B11" s="14" t="s">
        <v>535</v>
      </c>
      <c r="C11" s="14" t="s">
        <v>216</v>
      </c>
      <c r="D11" s="14" t="s">
        <v>529</v>
      </c>
      <c r="E11" s="14" t="s">
        <v>492</v>
      </c>
      <c r="F11" s="14" t="s">
        <v>536</v>
      </c>
      <c r="G11" s="14" t="s">
        <v>537</v>
      </c>
      <c r="H11" s="14" t="s">
        <v>538</v>
      </c>
      <c r="I11" s="14" t="s">
        <v>539</v>
      </c>
      <c r="J11" s="18" t="s">
        <v>506</v>
      </c>
      <c r="K11" s="14" t="s">
        <v>484</v>
      </c>
      <c r="L11" s="14" t="s">
        <v>410</v>
      </c>
      <c r="M11" s="14" t="s">
        <v>540</v>
      </c>
    </row>
    <row r="12" spans="1:13" ht="27.9" customHeight="1" x14ac:dyDescent="0.3">
      <c r="A12" s="14" t="s">
        <v>541</v>
      </c>
      <c r="B12" s="14" t="s">
        <v>542</v>
      </c>
      <c r="C12" s="14" t="s">
        <v>435</v>
      </c>
      <c r="D12" s="14" t="s">
        <v>529</v>
      </c>
      <c r="E12" s="14" t="s">
        <v>492</v>
      </c>
      <c r="F12" s="14" t="s">
        <v>543</v>
      </c>
      <c r="G12" s="14" t="s">
        <v>544</v>
      </c>
      <c r="H12" s="14" t="s">
        <v>545</v>
      </c>
      <c r="I12" s="14" t="s">
        <v>546</v>
      </c>
      <c r="J12" s="18" t="s">
        <v>547</v>
      </c>
      <c r="K12" s="14" t="s">
        <v>484</v>
      </c>
      <c r="L12" s="14" t="s">
        <v>485</v>
      </c>
      <c r="M12" s="14" t="s">
        <v>548</v>
      </c>
    </row>
    <row r="13" spans="1:13" ht="27.9" customHeight="1" x14ac:dyDescent="0.3">
      <c r="A13" s="14" t="s">
        <v>549</v>
      </c>
      <c r="B13" s="14" t="s">
        <v>550</v>
      </c>
      <c r="C13" s="14" t="s">
        <v>456</v>
      </c>
      <c r="D13" s="14" t="s">
        <v>551</v>
      </c>
      <c r="E13" s="14" t="s">
        <v>552</v>
      </c>
      <c r="F13" s="14" t="s">
        <v>553</v>
      </c>
      <c r="G13" s="14" t="s">
        <v>554</v>
      </c>
      <c r="H13" s="14" t="s">
        <v>555</v>
      </c>
      <c r="I13" s="14" t="s">
        <v>556</v>
      </c>
      <c r="J13" s="18" t="s">
        <v>547</v>
      </c>
      <c r="K13" s="14" t="s">
        <v>484</v>
      </c>
      <c r="L13" s="14" t="s">
        <v>485</v>
      </c>
      <c r="M13" s="14" t="s">
        <v>557</v>
      </c>
    </row>
    <row r="14" spans="1:13" ht="27.9" customHeight="1" x14ac:dyDescent="0.3">
      <c r="A14" s="14" t="s">
        <v>558</v>
      </c>
      <c r="B14" s="14" t="s">
        <v>559</v>
      </c>
      <c r="C14" s="14" t="s">
        <v>346</v>
      </c>
      <c r="D14" s="14" t="s">
        <v>560</v>
      </c>
      <c r="E14" s="14" t="s">
        <v>561</v>
      </c>
      <c r="F14" s="14" t="s">
        <v>562</v>
      </c>
      <c r="G14" s="14" t="s">
        <v>563</v>
      </c>
      <c r="H14" s="14" t="s">
        <v>564</v>
      </c>
      <c r="I14" s="14" t="s">
        <v>565</v>
      </c>
      <c r="J14" s="18" t="s">
        <v>547</v>
      </c>
      <c r="K14" s="14" t="s">
        <v>484</v>
      </c>
      <c r="L14" s="14" t="s">
        <v>485</v>
      </c>
      <c r="M14" s="14" t="s">
        <v>566</v>
      </c>
    </row>
    <row r="15" spans="1:13" ht="105" customHeight="1" x14ac:dyDescent="0.3">
      <c r="A15" s="14" t="s">
        <v>567</v>
      </c>
      <c r="B15" s="14" t="s">
        <v>568</v>
      </c>
      <c r="C15" s="14" t="s">
        <v>346</v>
      </c>
      <c r="D15" s="14" t="s">
        <v>569</v>
      </c>
      <c r="E15" s="14" t="s">
        <v>570</v>
      </c>
      <c r="F15" s="14" t="s">
        <v>571</v>
      </c>
      <c r="G15" s="14" t="s">
        <v>572</v>
      </c>
      <c r="H15" s="14" t="s">
        <v>573</v>
      </c>
      <c r="I15" s="14" t="s">
        <v>574</v>
      </c>
      <c r="J15" s="18" t="s">
        <v>575</v>
      </c>
      <c r="K15" s="14" t="s">
        <v>484</v>
      </c>
      <c r="L15" s="14" t="s">
        <v>485</v>
      </c>
      <c r="M15" s="14" t="s">
        <v>576</v>
      </c>
    </row>
    <row r="16" spans="1:13" ht="90" customHeight="1" x14ac:dyDescent="0.3">
      <c r="A16" s="14" t="s">
        <v>577</v>
      </c>
      <c r="B16" s="14" t="s">
        <v>578</v>
      </c>
      <c r="C16" s="14" t="s">
        <v>216</v>
      </c>
      <c r="D16" s="14" t="s">
        <v>579</v>
      </c>
      <c r="E16" s="14" t="s">
        <v>492</v>
      </c>
      <c r="F16" s="14" t="s">
        <v>580</v>
      </c>
      <c r="G16" s="14" t="s">
        <v>581</v>
      </c>
      <c r="H16" s="14" t="s">
        <v>582</v>
      </c>
      <c r="I16" s="14" t="s">
        <v>583</v>
      </c>
      <c r="J16" s="18" t="s">
        <v>584</v>
      </c>
      <c r="K16" s="14" t="s">
        <v>484</v>
      </c>
      <c r="L16" s="14" t="s">
        <v>410</v>
      </c>
      <c r="M16" s="14" t="s">
        <v>585</v>
      </c>
    </row>
  </sheetData>
  <autoFilter ref="A1:M14" xr:uid="{00000000-0009-0000-0000-000003000000}"/>
  <mergeCells count="1">
    <mergeCell ref="A1:M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2"/>
  <sheetViews>
    <sheetView workbookViewId="0">
      <pane ySplit="3" topLeftCell="A4" activePane="bottomLeft" state="frozen"/>
      <selection pane="bottomLeft" sqref="A1:M1"/>
    </sheetView>
  </sheetViews>
  <sheetFormatPr baseColWidth="10" defaultColWidth="9.109375" defaultRowHeight="14.4" x14ac:dyDescent="0.3"/>
  <cols>
    <col min="1" max="1" width="39" customWidth="1"/>
    <col min="2" max="2" width="47" customWidth="1"/>
    <col min="3" max="3" width="14" customWidth="1"/>
    <col min="4" max="4" width="20" customWidth="1"/>
    <col min="5" max="5" width="17" customWidth="1"/>
    <col min="6" max="9" width="55" customWidth="1"/>
    <col min="10" max="10" width="26" customWidth="1"/>
    <col min="11" max="13" width="55" customWidth="1"/>
  </cols>
  <sheetData>
    <row r="1" spans="1:13" ht="24" customHeight="1" x14ac:dyDescent="0.3">
      <c r="A1" s="21" t="s">
        <v>586</v>
      </c>
      <c r="B1" s="22"/>
      <c r="C1" s="22"/>
      <c r="D1" s="22"/>
      <c r="E1" s="22"/>
      <c r="F1" s="22"/>
      <c r="G1" s="22"/>
      <c r="H1" s="22"/>
      <c r="I1" s="22"/>
      <c r="J1" s="22"/>
      <c r="K1" s="22"/>
      <c r="L1" s="22"/>
      <c r="M1" s="23"/>
    </row>
    <row r="2" spans="1:13" ht="27.9" customHeight="1" x14ac:dyDescent="0.3"/>
    <row r="3" spans="1:13" ht="27.9" customHeight="1" x14ac:dyDescent="0.3">
      <c r="A3" s="12" t="s">
        <v>587</v>
      </c>
      <c r="B3" s="1"/>
      <c r="C3" s="1"/>
      <c r="D3" s="1"/>
      <c r="E3" s="1"/>
      <c r="F3" s="1"/>
      <c r="G3" s="1"/>
      <c r="H3" s="1"/>
      <c r="I3" s="1"/>
      <c r="J3" s="1"/>
      <c r="K3" s="1"/>
      <c r="L3" s="1"/>
      <c r="M3" s="1"/>
    </row>
    <row r="4" spans="1:13" ht="27.9" customHeight="1" x14ac:dyDescent="0.3">
      <c r="A4" s="13" t="s">
        <v>2</v>
      </c>
      <c r="B4" s="13" t="s">
        <v>3</v>
      </c>
      <c r="C4" s="13" t="s">
        <v>4</v>
      </c>
      <c r="D4" s="13" t="s">
        <v>5</v>
      </c>
      <c r="E4" s="13" t="s">
        <v>6</v>
      </c>
      <c r="F4" s="13" t="s">
        <v>7</v>
      </c>
      <c r="G4" s="13" t="s">
        <v>8</v>
      </c>
      <c r="H4" s="13" t="s">
        <v>9</v>
      </c>
      <c r="I4" s="13" t="s">
        <v>10</v>
      </c>
      <c r="J4" s="13" t="s">
        <v>11</v>
      </c>
      <c r="K4" s="13" t="s">
        <v>12</v>
      </c>
      <c r="L4" s="13" t="s">
        <v>13</v>
      </c>
      <c r="M4" s="13" t="s">
        <v>14</v>
      </c>
    </row>
    <row r="5" spans="1:13" ht="27.9" customHeight="1" x14ac:dyDescent="0.3">
      <c r="A5" s="9" t="s">
        <v>588</v>
      </c>
      <c r="B5" s="9" t="s">
        <v>589</v>
      </c>
      <c r="C5" s="9" t="s">
        <v>17</v>
      </c>
      <c r="D5" s="9" t="s">
        <v>491</v>
      </c>
      <c r="E5" s="9" t="s">
        <v>590</v>
      </c>
      <c r="F5" s="9" t="s">
        <v>591</v>
      </c>
      <c r="G5" s="9" t="s">
        <v>592</v>
      </c>
      <c r="H5" s="9" t="s">
        <v>589</v>
      </c>
      <c r="I5" s="9" t="s">
        <v>593</v>
      </c>
      <c r="J5" s="9" t="s">
        <v>594</v>
      </c>
      <c r="K5" s="9" t="s">
        <v>274</v>
      </c>
      <c r="L5" s="9" t="s">
        <v>26</v>
      </c>
      <c r="M5" s="9" t="s">
        <v>595</v>
      </c>
    </row>
    <row r="6" spans="1:13" ht="27.9" customHeight="1" x14ac:dyDescent="0.3">
      <c r="A6" s="9" t="s">
        <v>596</v>
      </c>
      <c r="B6" s="9" t="s">
        <v>597</v>
      </c>
      <c r="C6" s="9" t="s">
        <v>17</v>
      </c>
      <c r="D6" s="9" t="s">
        <v>491</v>
      </c>
      <c r="E6" s="9" t="s">
        <v>590</v>
      </c>
      <c r="F6" s="9" t="s">
        <v>598</v>
      </c>
      <c r="G6" s="9" t="s">
        <v>599</v>
      </c>
      <c r="H6" s="9" t="s">
        <v>600</v>
      </c>
      <c r="I6" s="9" t="s">
        <v>601</v>
      </c>
      <c r="J6" s="9" t="s">
        <v>594</v>
      </c>
      <c r="K6" s="9" t="s">
        <v>274</v>
      </c>
      <c r="L6" s="9" t="s">
        <v>26</v>
      </c>
      <c r="M6" s="9" t="s">
        <v>602</v>
      </c>
    </row>
    <row r="7" spans="1:13" ht="27.9" customHeight="1" x14ac:dyDescent="0.3">
      <c r="A7" s="9" t="s">
        <v>603</v>
      </c>
      <c r="B7" s="9" t="s">
        <v>604</v>
      </c>
      <c r="C7" s="9" t="s">
        <v>17</v>
      </c>
      <c r="D7" s="9" t="s">
        <v>501</v>
      </c>
      <c r="E7" s="9" t="s">
        <v>590</v>
      </c>
      <c r="F7" s="9" t="s">
        <v>605</v>
      </c>
      <c r="G7" s="9" t="s">
        <v>606</v>
      </c>
      <c r="H7" s="9" t="s">
        <v>607</v>
      </c>
      <c r="I7" s="9" t="s">
        <v>608</v>
      </c>
      <c r="J7" s="4" t="s">
        <v>609</v>
      </c>
      <c r="K7" s="9" t="s">
        <v>274</v>
      </c>
      <c r="L7" s="9" t="s">
        <v>26</v>
      </c>
      <c r="M7" s="9" t="s">
        <v>610</v>
      </c>
    </row>
    <row r="8" spans="1:13" ht="27.9" customHeight="1" x14ac:dyDescent="0.3">
      <c r="A8" s="9" t="s">
        <v>611</v>
      </c>
      <c r="B8" s="9" t="s">
        <v>612</v>
      </c>
      <c r="C8" s="9" t="s">
        <v>17</v>
      </c>
      <c r="D8" s="9" t="s">
        <v>501</v>
      </c>
      <c r="E8" s="9" t="s">
        <v>590</v>
      </c>
      <c r="F8" s="9" t="s">
        <v>613</v>
      </c>
      <c r="G8" s="9" t="s">
        <v>614</v>
      </c>
      <c r="H8" s="9" t="s">
        <v>615</v>
      </c>
      <c r="I8" s="9" t="s">
        <v>616</v>
      </c>
      <c r="J8" s="10" t="s">
        <v>617</v>
      </c>
      <c r="K8" s="9" t="s">
        <v>274</v>
      </c>
      <c r="L8" s="9" t="s">
        <v>26</v>
      </c>
      <c r="M8" s="9" t="s">
        <v>618</v>
      </c>
    </row>
    <row r="9" spans="1:13" ht="27.9" customHeight="1" x14ac:dyDescent="0.3">
      <c r="A9" s="9" t="s">
        <v>619</v>
      </c>
      <c r="B9" s="9" t="s">
        <v>620</v>
      </c>
      <c r="C9" s="9" t="s">
        <v>17</v>
      </c>
      <c r="D9" s="9" t="s">
        <v>501</v>
      </c>
      <c r="E9" s="9" t="s">
        <v>590</v>
      </c>
      <c r="F9" s="9" t="s">
        <v>621</v>
      </c>
      <c r="G9" s="9" t="s">
        <v>622</v>
      </c>
      <c r="H9" s="9" t="s">
        <v>623</v>
      </c>
      <c r="I9" s="1"/>
      <c r="J9" s="4" t="s">
        <v>609</v>
      </c>
      <c r="K9" s="9" t="s">
        <v>274</v>
      </c>
      <c r="L9" s="9" t="s">
        <v>26</v>
      </c>
      <c r="M9" s="9" t="s">
        <v>618</v>
      </c>
    </row>
    <row r="10" spans="1:13" ht="27.9" customHeight="1" x14ac:dyDescent="0.3">
      <c r="A10" s="9" t="s">
        <v>624</v>
      </c>
      <c r="B10" s="9" t="s">
        <v>625</v>
      </c>
      <c r="C10" s="9" t="s">
        <v>17</v>
      </c>
      <c r="D10" s="9" t="s">
        <v>501</v>
      </c>
      <c r="E10" s="9" t="s">
        <v>590</v>
      </c>
      <c r="F10" s="9" t="s">
        <v>626</v>
      </c>
      <c r="G10" s="9" t="s">
        <v>627</v>
      </c>
      <c r="H10" s="9" t="s">
        <v>628</v>
      </c>
      <c r="I10" s="1"/>
      <c r="J10" s="4" t="s">
        <v>609</v>
      </c>
      <c r="K10" s="9" t="s">
        <v>274</v>
      </c>
      <c r="L10" s="9" t="s">
        <v>26</v>
      </c>
      <c r="M10" s="9" t="s">
        <v>618</v>
      </c>
    </row>
    <row r="11" spans="1:13" ht="27.9" customHeight="1" x14ac:dyDescent="0.3">
      <c r="A11" s="9" t="s">
        <v>629</v>
      </c>
      <c r="B11" s="9" t="s">
        <v>630</v>
      </c>
      <c r="C11" s="9" t="s">
        <v>17</v>
      </c>
      <c r="D11" s="9" t="s">
        <v>501</v>
      </c>
      <c r="E11" s="9" t="s">
        <v>590</v>
      </c>
      <c r="F11" s="9" t="s">
        <v>631</v>
      </c>
      <c r="G11" s="9" t="s">
        <v>632</v>
      </c>
      <c r="H11" s="9" t="s">
        <v>633</v>
      </c>
      <c r="I11" s="1"/>
      <c r="J11" s="10" t="s">
        <v>617</v>
      </c>
      <c r="K11" s="9" t="s">
        <v>274</v>
      </c>
      <c r="L11" s="9" t="s">
        <v>26</v>
      </c>
      <c r="M11" s="9" t="s">
        <v>618</v>
      </c>
    </row>
    <row r="12" spans="1:13" ht="27.9" customHeight="1" x14ac:dyDescent="0.3">
      <c r="A12" s="9" t="s">
        <v>634</v>
      </c>
      <c r="B12" s="9" t="s">
        <v>635</v>
      </c>
      <c r="C12" s="9" t="s">
        <v>17</v>
      </c>
      <c r="D12" s="9" t="s">
        <v>636</v>
      </c>
      <c r="E12" s="9" t="s">
        <v>590</v>
      </c>
      <c r="F12" s="9" t="s">
        <v>637</v>
      </c>
      <c r="G12" s="9" t="s">
        <v>638</v>
      </c>
      <c r="H12" s="9" t="s">
        <v>639</v>
      </c>
      <c r="I12" s="1"/>
      <c r="J12" s="10" t="s">
        <v>617</v>
      </c>
      <c r="K12" s="9" t="s">
        <v>274</v>
      </c>
      <c r="L12" s="9" t="s">
        <v>26</v>
      </c>
      <c r="M12" s="9" t="s">
        <v>618</v>
      </c>
    </row>
    <row r="13" spans="1:13" ht="27.9" customHeight="1" x14ac:dyDescent="0.3">
      <c r="A13" s="9" t="s">
        <v>640</v>
      </c>
      <c r="B13" s="9" t="s">
        <v>641</v>
      </c>
      <c r="C13" s="9" t="s">
        <v>17</v>
      </c>
      <c r="D13" s="9" t="s">
        <v>642</v>
      </c>
      <c r="E13" s="9" t="s">
        <v>590</v>
      </c>
      <c r="F13" s="9" t="s">
        <v>643</v>
      </c>
      <c r="G13" s="9" t="s">
        <v>644</v>
      </c>
      <c r="H13" s="9" t="s">
        <v>645</v>
      </c>
      <c r="I13" s="1"/>
      <c r="J13" s="4" t="s">
        <v>609</v>
      </c>
      <c r="K13" s="9" t="s">
        <v>274</v>
      </c>
      <c r="L13" s="9" t="s">
        <v>26</v>
      </c>
      <c r="M13" s="9" t="s">
        <v>646</v>
      </c>
    </row>
    <row r="14" spans="1:13" ht="27.9" customHeight="1" x14ac:dyDescent="0.3">
      <c r="A14" s="9" t="s">
        <v>647</v>
      </c>
      <c r="B14" s="9" t="s">
        <v>648</v>
      </c>
      <c r="C14" s="9" t="s">
        <v>17</v>
      </c>
      <c r="D14" s="9" t="s">
        <v>501</v>
      </c>
      <c r="E14" s="9" t="s">
        <v>590</v>
      </c>
      <c r="F14" s="9" t="s">
        <v>649</v>
      </c>
      <c r="G14" s="9" t="s">
        <v>650</v>
      </c>
      <c r="H14" s="9" t="s">
        <v>651</v>
      </c>
      <c r="I14" s="9" t="s">
        <v>652</v>
      </c>
      <c r="J14" s="4" t="s">
        <v>609</v>
      </c>
      <c r="K14" s="9" t="s">
        <v>274</v>
      </c>
      <c r="L14" s="9" t="s">
        <v>26</v>
      </c>
      <c r="M14" s="9" t="s">
        <v>618</v>
      </c>
    </row>
    <row r="15" spans="1:13" ht="27.9" customHeight="1" x14ac:dyDescent="0.3">
      <c r="A15" s="9" t="s">
        <v>653</v>
      </c>
      <c r="B15" s="9" t="s">
        <v>654</v>
      </c>
      <c r="C15" s="9" t="s">
        <v>17</v>
      </c>
      <c r="D15" s="9" t="s">
        <v>501</v>
      </c>
      <c r="E15" s="9" t="s">
        <v>590</v>
      </c>
      <c r="F15" s="9" t="s">
        <v>655</v>
      </c>
      <c r="G15" s="9" t="s">
        <v>656</v>
      </c>
      <c r="H15" s="9" t="s">
        <v>657</v>
      </c>
      <c r="I15" s="9" t="s">
        <v>658</v>
      </c>
      <c r="J15" s="4" t="s">
        <v>609</v>
      </c>
      <c r="K15" s="9" t="s">
        <v>274</v>
      </c>
      <c r="L15" s="9" t="s">
        <v>26</v>
      </c>
      <c r="M15" s="9" t="s">
        <v>618</v>
      </c>
    </row>
    <row r="16" spans="1:13" ht="27.9" customHeight="1" x14ac:dyDescent="0.3">
      <c r="A16" s="9" t="s">
        <v>659</v>
      </c>
      <c r="B16" s="9" t="s">
        <v>660</v>
      </c>
      <c r="C16" s="9" t="s">
        <v>17</v>
      </c>
      <c r="D16" s="9" t="s">
        <v>501</v>
      </c>
      <c r="E16" s="9" t="s">
        <v>590</v>
      </c>
      <c r="F16" s="9" t="s">
        <v>661</v>
      </c>
      <c r="G16" s="9" t="s">
        <v>662</v>
      </c>
      <c r="H16" s="9" t="s">
        <v>663</v>
      </c>
      <c r="I16" s="9" t="s">
        <v>664</v>
      </c>
      <c r="J16" s="10" t="s">
        <v>617</v>
      </c>
      <c r="K16" s="9" t="s">
        <v>274</v>
      </c>
      <c r="L16" s="9" t="s">
        <v>26</v>
      </c>
      <c r="M16" s="9" t="s">
        <v>618</v>
      </c>
    </row>
    <row r="17" spans="1:13" ht="27.9" customHeight="1" x14ac:dyDescent="0.3">
      <c r="A17" s="9" t="s">
        <v>665</v>
      </c>
      <c r="B17" s="9" t="s">
        <v>666</v>
      </c>
      <c r="C17" s="9" t="s">
        <v>17</v>
      </c>
      <c r="D17" s="9" t="s">
        <v>501</v>
      </c>
      <c r="E17" s="9" t="s">
        <v>590</v>
      </c>
      <c r="F17" s="9" t="s">
        <v>667</v>
      </c>
      <c r="G17" s="9" t="s">
        <v>668</v>
      </c>
      <c r="H17" s="9" t="s">
        <v>669</v>
      </c>
      <c r="I17" s="9" t="s">
        <v>670</v>
      </c>
      <c r="J17" s="10" t="s">
        <v>617</v>
      </c>
      <c r="K17" s="9" t="s">
        <v>274</v>
      </c>
      <c r="L17" s="9" t="s">
        <v>26</v>
      </c>
      <c r="M17" s="9" t="s">
        <v>618</v>
      </c>
    </row>
    <row r="18" spans="1:13" ht="27.9" customHeight="1" x14ac:dyDescent="0.3">
      <c r="A18" s="9" t="s">
        <v>671</v>
      </c>
      <c r="B18" s="9" t="s">
        <v>672</v>
      </c>
      <c r="C18" s="9" t="s">
        <v>17</v>
      </c>
      <c r="D18" s="9" t="s">
        <v>501</v>
      </c>
      <c r="E18" s="9" t="s">
        <v>590</v>
      </c>
      <c r="F18" s="9" t="s">
        <v>673</v>
      </c>
      <c r="G18" s="9" t="s">
        <v>674</v>
      </c>
      <c r="H18" s="9" t="s">
        <v>675</v>
      </c>
      <c r="I18" s="9" t="s">
        <v>676</v>
      </c>
      <c r="J18" s="4" t="s">
        <v>609</v>
      </c>
      <c r="K18" s="9" t="s">
        <v>274</v>
      </c>
      <c r="L18" s="9" t="s">
        <v>26</v>
      </c>
      <c r="M18" s="9" t="s">
        <v>618</v>
      </c>
    </row>
    <row r="19" spans="1:13" ht="27.9" customHeight="1" x14ac:dyDescent="0.3">
      <c r="A19" s="9" t="s">
        <v>677</v>
      </c>
      <c r="B19" s="9" t="s">
        <v>678</v>
      </c>
      <c r="C19" s="9" t="s">
        <v>17</v>
      </c>
      <c r="D19" s="9" t="s">
        <v>642</v>
      </c>
      <c r="E19" s="9" t="s">
        <v>590</v>
      </c>
      <c r="F19" s="9" t="s">
        <v>679</v>
      </c>
      <c r="G19" s="9" t="s">
        <v>680</v>
      </c>
      <c r="H19" s="9" t="s">
        <v>681</v>
      </c>
      <c r="I19" s="9" t="s">
        <v>682</v>
      </c>
      <c r="J19" s="11" t="s">
        <v>683</v>
      </c>
      <c r="K19" s="9" t="s">
        <v>274</v>
      </c>
      <c r="L19" s="9" t="s">
        <v>26</v>
      </c>
      <c r="M19" s="9" t="s">
        <v>684</v>
      </c>
    </row>
    <row r="20" spans="1:13" ht="27.9" customHeight="1" x14ac:dyDescent="0.3">
      <c r="A20" s="9" t="s">
        <v>685</v>
      </c>
      <c r="B20" s="9" t="s">
        <v>686</v>
      </c>
      <c r="C20" s="9" t="s">
        <v>17</v>
      </c>
      <c r="D20" s="9" t="s">
        <v>529</v>
      </c>
      <c r="E20" s="9" t="s">
        <v>590</v>
      </c>
      <c r="F20" s="9" t="s">
        <v>687</v>
      </c>
      <c r="G20" s="9" t="s">
        <v>688</v>
      </c>
      <c r="H20" s="9" t="s">
        <v>689</v>
      </c>
      <c r="I20" s="9" t="s">
        <v>690</v>
      </c>
      <c r="J20" s="10" t="s">
        <v>617</v>
      </c>
      <c r="K20" s="9" t="s">
        <v>274</v>
      </c>
      <c r="L20" s="9" t="s">
        <v>26</v>
      </c>
      <c r="M20" s="9" t="s">
        <v>618</v>
      </c>
    </row>
    <row r="21" spans="1:13" ht="27.9" customHeight="1" x14ac:dyDescent="0.3">
      <c r="A21" s="9" t="s">
        <v>691</v>
      </c>
      <c r="B21" s="9" t="s">
        <v>692</v>
      </c>
      <c r="C21" s="9" t="s">
        <v>17</v>
      </c>
      <c r="D21" s="9" t="s">
        <v>529</v>
      </c>
      <c r="E21" s="9" t="s">
        <v>590</v>
      </c>
      <c r="F21" s="9" t="s">
        <v>693</v>
      </c>
      <c r="G21" s="9" t="s">
        <v>694</v>
      </c>
      <c r="H21" s="9" t="s">
        <v>695</v>
      </c>
      <c r="I21" s="9" t="s">
        <v>696</v>
      </c>
      <c r="J21" s="4" t="s">
        <v>609</v>
      </c>
      <c r="K21" s="9" t="s">
        <v>274</v>
      </c>
      <c r="L21" s="9" t="s">
        <v>26</v>
      </c>
      <c r="M21" s="9" t="s">
        <v>697</v>
      </c>
    </row>
    <row r="22" spans="1:13" ht="27.9" customHeight="1" x14ac:dyDescent="0.3">
      <c r="A22" s="9" t="s">
        <v>698</v>
      </c>
      <c r="B22" s="9" t="s">
        <v>699</v>
      </c>
      <c r="C22" s="9" t="s">
        <v>456</v>
      </c>
      <c r="D22" s="9" t="s">
        <v>551</v>
      </c>
      <c r="E22" s="9" t="s">
        <v>458</v>
      </c>
      <c r="F22" s="9" t="s">
        <v>700</v>
      </c>
      <c r="G22" s="9" t="s">
        <v>701</v>
      </c>
      <c r="H22" s="9" t="s">
        <v>702</v>
      </c>
      <c r="I22" s="9" t="s">
        <v>703</v>
      </c>
      <c r="J22" s="11" t="s">
        <v>704</v>
      </c>
      <c r="K22" s="9" t="s">
        <v>421</v>
      </c>
      <c r="L22" s="9" t="s">
        <v>464</v>
      </c>
      <c r="M22" s="9" t="s">
        <v>705</v>
      </c>
    </row>
  </sheetData>
  <autoFilter ref="A1:M22" xr:uid="{00000000-0009-0000-0000-000004000000}"/>
  <mergeCells count="1">
    <mergeCell ref="A1:M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31"/>
  <sheetViews>
    <sheetView workbookViewId="0">
      <pane ySplit="3" topLeftCell="A4" activePane="bottomLeft" state="frozen"/>
      <selection pane="bottomLeft" activeCell="A3" sqref="A3"/>
    </sheetView>
  </sheetViews>
  <sheetFormatPr baseColWidth="10" defaultColWidth="9.109375" defaultRowHeight="14.4" x14ac:dyDescent="0.3"/>
  <cols>
    <col min="1" max="2" width="55" customWidth="1"/>
    <col min="3" max="3" width="14" customWidth="1"/>
    <col min="4" max="4" width="23" customWidth="1"/>
    <col min="5" max="5" width="25" customWidth="1"/>
    <col min="6" max="13" width="55" customWidth="1"/>
  </cols>
  <sheetData>
    <row r="1" spans="1:13" ht="24" customHeight="1" x14ac:dyDescent="0.3">
      <c r="A1" s="21" t="s">
        <v>0</v>
      </c>
      <c r="B1" s="22"/>
      <c r="C1" s="22"/>
      <c r="D1" s="22"/>
      <c r="E1" s="22"/>
      <c r="F1" s="22"/>
      <c r="G1" s="22"/>
      <c r="H1" s="22"/>
      <c r="I1" s="22"/>
      <c r="J1" s="22"/>
      <c r="K1" s="22"/>
      <c r="L1" s="22"/>
      <c r="M1" s="23"/>
    </row>
    <row r="2" spans="1:13" ht="27.9" customHeight="1" x14ac:dyDescent="0.3"/>
    <row r="3" spans="1:13" ht="27.9" customHeight="1" x14ac:dyDescent="0.3">
      <c r="A3" s="20" t="s">
        <v>1</v>
      </c>
      <c r="B3" s="1"/>
      <c r="C3" s="1"/>
      <c r="D3" s="1"/>
      <c r="E3" s="1"/>
      <c r="F3" s="1"/>
      <c r="G3" s="1"/>
      <c r="H3" s="1"/>
      <c r="I3" s="1"/>
      <c r="J3" s="1"/>
      <c r="K3" s="1"/>
      <c r="L3" s="1"/>
      <c r="M3" s="1"/>
    </row>
    <row r="4" spans="1:13" ht="27.9" customHeight="1" x14ac:dyDescent="0.3">
      <c r="A4" s="13" t="s">
        <v>2</v>
      </c>
      <c r="B4" s="13" t="s">
        <v>3</v>
      </c>
      <c r="C4" s="13" t="s">
        <v>4</v>
      </c>
      <c r="D4" s="13" t="s">
        <v>5</v>
      </c>
      <c r="E4" s="13" t="s">
        <v>6</v>
      </c>
      <c r="F4" s="13" t="s">
        <v>7</v>
      </c>
      <c r="G4" s="13" t="s">
        <v>8</v>
      </c>
      <c r="H4" s="13" t="s">
        <v>9</v>
      </c>
      <c r="I4" s="13" t="s">
        <v>10</v>
      </c>
      <c r="J4" s="13" t="s">
        <v>11</v>
      </c>
      <c r="K4" s="13" t="s">
        <v>12</v>
      </c>
      <c r="L4" s="13" t="s">
        <v>13</v>
      </c>
      <c r="M4" s="13" t="s">
        <v>14</v>
      </c>
    </row>
    <row r="5" spans="1:13" ht="27.9" customHeight="1" x14ac:dyDescent="0.3">
      <c r="A5" s="9" t="s">
        <v>15</v>
      </c>
      <c r="B5" s="9" t="s">
        <v>16</v>
      </c>
      <c r="C5" s="9" t="s">
        <v>17</v>
      </c>
      <c r="D5" s="9" t="s">
        <v>18</v>
      </c>
      <c r="E5" s="9" t="s">
        <v>19</v>
      </c>
      <c r="F5" s="9" t="s">
        <v>20</v>
      </c>
      <c r="G5" s="9" t="s">
        <v>21</v>
      </c>
      <c r="H5" s="9" t="s">
        <v>22</v>
      </c>
      <c r="I5" s="9" t="s">
        <v>23</v>
      </c>
      <c r="J5" s="4" t="s">
        <v>24</v>
      </c>
      <c r="K5" s="9" t="s">
        <v>25</v>
      </c>
      <c r="L5" s="9" t="s">
        <v>26</v>
      </c>
      <c r="M5" s="9" t="s">
        <v>27</v>
      </c>
    </row>
    <row r="6" spans="1:13" ht="27.9" customHeight="1" x14ac:dyDescent="0.3">
      <c r="A6" s="9" t="s">
        <v>28</v>
      </c>
      <c r="B6" s="9" t="s">
        <v>29</v>
      </c>
      <c r="C6" s="9" t="s">
        <v>17</v>
      </c>
      <c r="D6" s="9" t="s">
        <v>18</v>
      </c>
      <c r="E6" s="9" t="s">
        <v>30</v>
      </c>
      <c r="F6" s="9" t="s">
        <v>20</v>
      </c>
      <c r="G6" s="9" t="s">
        <v>31</v>
      </c>
      <c r="H6" s="9" t="s">
        <v>32</v>
      </c>
      <c r="I6" s="9" t="s">
        <v>33</v>
      </c>
      <c r="J6" s="4" t="s">
        <v>24</v>
      </c>
      <c r="K6" s="9" t="s">
        <v>25</v>
      </c>
      <c r="L6" s="9" t="s">
        <v>26</v>
      </c>
      <c r="M6" s="9" t="s">
        <v>27</v>
      </c>
    </row>
    <row r="7" spans="1:13" ht="27.9" customHeight="1" x14ac:dyDescent="0.3">
      <c r="A7" s="9" t="s">
        <v>34</v>
      </c>
      <c r="B7" s="9" t="s">
        <v>35</v>
      </c>
      <c r="C7" s="9" t="s">
        <v>17</v>
      </c>
      <c r="D7" s="9" t="s">
        <v>18</v>
      </c>
      <c r="E7" s="9" t="s">
        <v>36</v>
      </c>
      <c r="F7" s="9" t="s">
        <v>20</v>
      </c>
      <c r="G7" s="9" t="s">
        <v>37</v>
      </c>
      <c r="H7" s="9" t="s">
        <v>38</v>
      </c>
      <c r="I7" s="9" t="s">
        <v>39</v>
      </c>
      <c r="J7" s="4" t="s">
        <v>24</v>
      </c>
      <c r="K7" s="9" t="s">
        <v>25</v>
      </c>
      <c r="L7" s="9" t="s">
        <v>26</v>
      </c>
      <c r="M7" s="9" t="s">
        <v>40</v>
      </c>
    </row>
    <row r="8" spans="1:13" ht="27.9" customHeight="1" x14ac:dyDescent="0.3">
      <c r="A8" s="9" t="s">
        <v>41</v>
      </c>
      <c r="B8" s="9" t="s">
        <v>42</v>
      </c>
      <c r="C8" s="9" t="s">
        <v>17</v>
      </c>
      <c r="D8" s="9" t="s">
        <v>18</v>
      </c>
      <c r="E8" s="9" t="s">
        <v>36</v>
      </c>
      <c r="F8" s="9" t="s">
        <v>20</v>
      </c>
      <c r="G8" s="9" t="s">
        <v>43</v>
      </c>
      <c r="H8" s="9" t="s">
        <v>44</v>
      </c>
      <c r="I8" s="9" t="s">
        <v>39</v>
      </c>
      <c r="J8" s="4" t="s">
        <v>24</v>
      </c>
      <c r="K8" s="9" t="s">
        <v>25</v>
      </c>
      <c r="L8" s="9" t="s">
        <v>26</v>
      </c>
      <c r="M8" s="9" t="s">
        <v>45</v>
      </c>
    </row>
    <row r="9" spans="1:13" ht="27.9" customHeight="1" x14ac:dyDescent="0.3">
      <c r="A9" s="9" t="s">
        <v>46</v>
      </c>
      <c r="B9" s="9" t="s">
        <v>47</v>
      </c>
      <c r="C9" s="9" t="s">
        <v>17</v>
      </c>
      <c r="D9" s="9" t="s">
        <v>18</v>
      </c>
      <c r="E9" s="9" t="s">
        <v>48</v>
      </c>
      <c r="F9" s="9" t="s">
        <v>20</v>
      </c>
      <c r="G9" s="9" t="s">
        <v>49</v>
      </c>
      <c r="H9" s="9" t="s">
        <v>50</v>
      </c>
      <c r="I9" s="9" t="s">
        <v>51</v>
      </c>
      <c r="J9" s="4" t="s">
        <v>24</v>
      </c>
      <c r="K9" s="9" t="s">
        <v>52</v>
      </c>
      <c r="L9" s="9" t="s">
        <v>26</v>
      </c>
      <c r="M9" s="9" t="s">
        <v>53</v>
      </c>
    </row>
    <row r="10" spans="1:13" ht="27.9" customHeight="1" x14ac:dyDescent="0.3">
      <c r="A10" s="9" t="s">
        <v>54</v>
      </c>
      <c r="B10" s="9" t="s">
        <v>55</v>
      </c>
      <c r="C10" s="9" t="s">
        <v>17</v>
      </c>
      <c r="D10" s="9" t="s">
        <v>18</v>
      </c>
      <c r="E10" s="9" t="s">
        <v>56</v>
      </c>
      <c r="F10" s="9" t="s">
        <v>20</v>
      </c>
      <c r="G10" s="9" t="s">
        <v>57</v>
      </c>
      <c r="H10" s="9" t="s">
        <v>58</v>
      </c>
      <c r="I10" s="9" t="s">
        <v>59</v>
      </c>
      <c r="J10" s="4" t="s">
        <v>24</v>
      </c>
      <c r="K10" s="9" t="s">
        <v>25</v>
      </c>
      <c r="L10" s="9" t="s">
        <v>26</v>
      </c>
      <c r="M10" s="9" t="s">
        <v>60</v>
      </c>
    </row>
    <row r="11" spans="1:13" ht="27.9" customHeight="1" x14ac:dyDescent="0.3">
      <c r="A11" s="9" t="s">
        <v>61</v>
      </c>
      <c r="B11" s="9" t="s">
        <v>62</v>
      </c>
      <c r="C11" s="9" t="s">
        <v>17</v>
      </c>
      <c r="D11" s="9" t="s">
        <v>18</v>
      </c>
      <c r="E11" s="9" t="s">
        <v>56</v>
      </c>
      <c r="F11" s="9" t="s">
        <v>20</v>
      </c>
      <c r="G11" s="9" t="s">
        <v>63</v>
      </c>
      <c r="H11" s="9" t="s">
        <v>64</v>
      </c>
      <c r="I11" s="9" t="s">
        <v>59</v>
      </c>
      <c r="J11" s="4" t="s">
        <v>24</v>
      </c>
      <c r="K11" s="9" t="s">
        <v>25</v>
      </c>
      <c r="L11" s="9" t="s">
        <v>26</v>
      </c>
      <c r="M11" s="9" t="s">
        <v>60</v>
      </c>
    </row>
    <row r="12" spans="1:13" ht="27.9" customHeight="1" x14ac:dyDescent="0.3">
      <c r="A12" s="9" t="s">
        <v>65</v>
      </c>
      <c r="B12" s="9" t="s">
        <v>66</v>
      </c>
      <c r="C12" s="9" t="s">
        <v>17</v>
      </c>
      <c r="D12" s="9" t="s">
        <v>18</v>
      </c>
      <c r="E12" s="9" t="s">
        <v>56</v>
      </c>
      <c r="F12" s="9" t="s">
        <v>20</v>
      </c>
      <c r="G12" s="9" t="s">
        <v>67</v>
      </c>
      <c r="H12" s="9" t="s">
        <v>68</v>
      </c>
      <c r="I12" s="9" t="s">
        <v>59</v>
      </c>
      <c r="J12" s="4" t="s">
        <v>24</v>
      </c>
      <c r="K12" s="9" t="s">
        <v>25</v>
      </c>
      <c r="L12" s="9" t="s">
        <v>26</v>
      </c>
      <c r="M12" s="9" t="s">
        <v>60</v>
      </c>
    </row>
    <row r="13" spans="1:13" ht="27.9" customHeight="1" x14ac:dyDescent="0.3">
      <c r="A13" s="9" t="s">
        <v>69</v>
      </c>
      <c r="B13" s="9" t="s">
        <v>70</v>
      </c>
      <c r="C13" s="9" t="s">
        <v>17</v>
      </c>
      <c r="D13" s="9" t="s">
        <v>18</v>
      </c>
      <c r="E13" s="9" t="s">
        <v>56</v>
      </c>
      <c r="F13" s="9" t="s">
        <v>20</v>
      </c>
      <c r="G13" s="9" t="s">
        <v>71</v>
      </c>
      <c r="H13" s="9" t="s">
        <v>72</v>
      </c>
      <c r="I13" s="9" t="s">
        <v>59</v>
      </c>
      <c r="J13" s="4" t="s">
        <v>24</v>
      </c>
      <c r="K13" s="9" t="s">
        <v>25</v>
      </c>
      <c r="L13" s="9" t="s">
        <v>26</v>
      </c>
      <c r="M13" s="9" t="s">
        <v>60</v>
      </c>
    </row>
    <row r="14" spans="1:13" ht="27.9" customHeight="1" x14ac:dyDescent="0.3">
      <c r="A14" s="9" t="s">
        <v>73</v>
      </c>
      <c r="B14" s="9" t="s">
        <v>74</v>
      </c>
      <c r="C14" s="9" t="s">
        <v>17</v>
      </c>
      <c r="D14" s="9" t="s">
        <v>18</v>
      </c>
      <c r="E14" s="9" t="s">
        <v>36</v>
      </c>
      <c r="F14" s="9" t="s">
        <v>20</v>
      </c>
      <c r="G14" s="9" t="s">
        <v>75</v>
      </c>
      <c r="H14" s="9" t="s">
        <v>76</v>
      </c>
      <c r="I14" s="9" t="s">
        <v>77</v>
      </c>
      <c r="J14" s="10" t="s">
        <v>78</v>
      </c>
      <c r="K14" s="9" t="s">
        <v>25</v>
      </c>
      <c r="L14" s="9" t="s">
        <v>26</v>
      </c>
      <c r="M14" s="9" t="s">
        <v>79</v>
      </c>
    </row>
    <row r="15" spans="1:13" ht="27.9" customHeight="1" x14ac:dyDescent="0.3">
      <c r="A15" s="9" t="s">
        <v>80</v>
      </c>
      <c r="B15" s="9" t="s">
        <v>81</v>
      </c>
      <c r="C15" s="9" t="s">
        <v>17</v>
      </c>
      <c r="D15" s="9" t="s">
        <v>18</v>
      </c>
      <c r="E15" s="9" t="s">
        <v>36</v>
      </c>
      <c r="F15" s="9" t="s">
        <v>20</v>
      </c>
      <c r="G15" s="9" t="s">
        <v>82</v>
      </c>
      <c r="H15" s="9" t="s">
        <v>83</v>
      </c>
      <c r="I15" s="9" t="s">
        <v>77</v>
      </c>
      <c r="J15" s="4" t="s">
        <v>24</v>
      </c>
      <c r="K15" s="9" t="s">
        <v>25</v>
      </c>
      <c r="L15" s="9" t="s">
        <v>26</v>
      </c>
      <c r="M15" s="9" t="s">
        <v>84</v>
      </c>
    </row>
    <row r="16" spans="1:13" ht="27.9" customHeight="1" x14ac:dyDescent="0.3">
      <c r="A16" s="9" t="s">
        <v>85</v>
      </c>
      <c r="B16" s="9" t="s">
        <v>86</v>
      </c>
      <c r="C16" s="9" t="s">
        <v>17</v>
      </c>
      <c r="D16" s="9" t="s">
        <v>18</v>
      </c>
      <c r="E16" s="9" t="s">
        <v>36</v>
      </c>
      <c r="F16" s="9" t="s">
        <v>20</v>
      </c>
      <c r="G16" s="9" t="s">
        <v>87</v>
      </c>
      <c r="H16" s="9" t="s">
        <v>88</v>
      </c>
      <c r="I16" s="9" t="s">
        <v>77</v>
      </c>
      <c r="J16" s="4" t="s">
        <v>24</v>
      </c>
      <c r="K16" s="9" t="s">
        <v>25</v>
      </c>
      <c r="L16" s="9" t="s">
        <v>26</v>
      </c>
      <c r="M16" s="9" t="s">
        <v>89</v>
      </c>
    </row>
    <row r="17" spans="1:13" ht="27.9" customHeight="1" x14ac:dyDescent="0.3">
      <c r="A17" s="9" t="s">
        <v>90</v>
      </c>
      <c r="B17" s="9" t="s">
        <v>91</v>
      </c>
      <c r="C17" s="9" t="s">
        <v>17</v>
      </c>
      <c r="D17" s="9" t="s">
        <v>18</v>
      </c>
      <c r="E17" s="9" t="s">
        <v>36</v>
      </c>
      <c r="F17" s="9" t="s">
        <v>20</v>
      </c>
      <c r="G17" s="9" t="s">
        <v>92</v>
      </c>
      <c r="H17" s="9" t="s">
        <v>93</v>
      </c>
      <c r="I17" s="9" t="s">
        <v>77</v>
      </c>
      <c r="J17" s="4" t="s">
        <v>24</v>
      </c>
      <c r="K17" s="9" t="s">
        <v>25</v>
      </c>
      <c r="L17" s="9" t="s">
        <v>26</v>
      </c>
      <c r="M17" s="9" t="s">
        <v>94</v>
      </c>
    </row>
    <row r="18" spans="1:13" ht="27.9" customHeight="1" x14ac:dyDescent="0.3">
      <c r="A18" s="9" t="s">
        <v>95</v>
      </c>
      <c r="B18" s="9" t="s">
        <v>96</v>
      </c>
      <c r="C18" s="9" t="s">
        <v>17</v>
      </c>
      <c r="D18" s="9" t="s">
        <v>18</v>
      </c>
      <c r="E18" s="9" t="s">
        <v>36</v>
      </c>
      <c r="F18" s="9" t="s">
        <v>20</v>
      </c>
      <c r="G18" s="9" t="s">
        <v>97</v>
      </c>
      <c r="H18" s="9" t="s">
        <v>98</v>
      </c>
      <c r="I18" s="9" t="s">
        <v>77</v>
      </c>
      <c r="J18" s="4" t="s">
        <v>24</v>
      </c>
      <c r="K18" s="9" t="s">
        <v>25</v>
      </c>
      <c r="L18" s="9" t="s">
        <v>26</v>
      </c>
      <c r="M18" s="9" t="s">
        <v>99</v>
      </c>
    </row>
    <row r="19" spans="1:13" ht="27.9" customHeight="1" x14ac:dyDescent="0.3">
      <c r="A19" s="9" t="s">
        <v>100</v>
      </c>
      <c r="B19" s="9" t="s">
        <v>101</v>
      </c>
      <c r="C19" s="9" t="s">
        <v>17</v>
      </c>
      <c r="D19" s="9" t="s">
        <v>18</v>
      </c>
      <c r="E19" s="9" t="s">
        <v>30</v>
      </c>
      <c r="F19" s="9" t="s">
        <v>20</v>
      </c>
      <c r="G19" s="9" t="s">
        <v>102</v>
      </c>
      <c r="H19" s="9" t="s">
        <v>103</v>
      </c>
      <c r="I19" s="9" t="s">
        <v>104</v>
      </c>
      <c r="J19" s="4" t="s">
        <v>24</v>
      </c>
      <c r="K19" s="9" t="s">
        <v>25</v>
      </c>
      <c r="L19" s="9" t="s">
        <v>26</v>
      </c>
      <c r="M19" s="9" t="s">
        <v>105</v>
      </c>
    </row>
    <row r="20" spans="1:13" ht="27.9" customHeight="1" x14ac:dyDescent="0.3">
      <c r="A20" s="9" t="s">
        <v>106</v>
      </c>
      <c r="B20" s="9" t="s">
        <v>107</v>
      </c>
      <c r="C20" s="9" t="s">
        <v>17</v>
      </c>
      <c r="D20" s="9" t="s">
        <v>18</v>
      </c>
      <c r="E20" s="9" t="s">
        <v>30</v>
      </c>
      <c r="F20" s="9" t="s">
        <v>20</v>
      </c>
      <c r="G20" s="9" t="s">
        <v>108</v>
      </c>
      <c r="H20" s="9" t="s">
        <v>109</v>
      </c>
      <c r="I20" s="9" t="s">
        <v>104</v>
      </c>
      <c r="J20" s="4" t="s">
        <v>24</v>
      </c>
      <c r="K20" s="9" t="s">
        <v>25</v>
      </c>
      <c r="L20" s="9" t="s">
        <v>26</v>
      </c>
      <c r="M20" s="9" t="s">
        <v>105</v>
      </c>
    </row>
    <row r="21" spans="1:13" ht="27.9" customHeight="1" x14ac:dyDescent="0.3">
      <c r="A21" s="9" t="s">
        <v>110</v>
      </c>
      <c r="B21" s="9" t="s">
        <v>111</v>
      </c>
      <c r="C21" s="9" t="s">
        <v>17</v>
      </c>
      <c r="D21" s="9" t="s">
        <v>18</v>
      </c>
      <c r="E21" s="9" t="s">
        <v>30</v>
      </c>
      <c r="F21" s="9" t="s">
        <v>20</v>
      </c>
      <c r="G21" s="9" t="s">
        <v>112</v>
      </c>
      <c r="H21" s="9" t="s">
        <v>113</v>
      </c>
      <c r="I21" s="9" t="s">
        <v>104</v>
      </c>
      <c r="J21" s="4" t="s">
        <v>24</v>
      </c>
      <c r="K21" s="9" t="s">
        <v>25</v>
      </c>
      <c r="L21" s="9" t="s">
        <v>26</v>
      </c>
      <c r="M21" s="9" t="s">
        <v>114</v>
      </c>
    </row>
    <row r="22" spans="1:13" ht="27.9" customHeight="1" x14ac:dyDescent="0.3">
      <c r="A22" s="9" t="s">
        <v>115</v>
      </c>
      <c r="B22" s="9" t="s">
        <v>116</v>
      </c>
      <c r="C22" s="9" t="s">
        <v>17</v>
      </c>
      <c r="D22" s="9" t="s">
        <v>18</v>
      </c>
      <c r="E22" s="9" t="s">
        <v>30</v>
      </c>
      <c r="F22" s="9" t="s">
        <v>20</v>
      </c>
      <c r="G22" s="9" t="s">
        <v>117</v>
      </c>
      <c r="H22" s="9" t="s">
        <v>118</v>
      </c>
      <c r="I22" s="9" t="s">
        <v>104</v>
      </c>
      <c r="J22" s="4" t="s">
        <v>24</v>
      </c>
      <c r="K22" s="9" t="s">
        <v>25</v>
      </c>
      <c r="L22" s="9" t="s">
        <v>26</v>
      </c>
      <c r="M22" s="9" t="s">
        <v>105</v>
      </c>
    </row>
    <row r="23" spans="1:13" ht="27.9" customHeight="1" x14ac:dyDescent="0.3">
      <c r="A23" s="9" t="s">
        <v>119</v>
      </c>
      <c r="B23" s="9" t="s">
        <v>120</v>
      </c>
      <c r="C23" s="9" t="s">
        <v>17</v>
      </c>
      <c r="D23" s="9" t="s">
        <v>18</v>
      </c>
      <c r="E23" s="9" t="s">
        <v>121</v>
      </c>
      <c r="F23" s="9" t="s">
        <v>20</v>
      </c>
      <c r="G23" s="9" t="s">
        <v>122</v>
      </c>
      <c r="H23" s="9" t="s">
        <v>123</v>
      </c>
      <c r="I23" s="9" t="s">
        <v>124</v>
      </c>
      <c r="J23" s="4" t="s">
        <v>24</v>
      </c>
      <c r="K23" s="9" t="s">
        <v>25</v>
      </c>
      <c r="L23" s="9" t="s">
        <v>26</v>
      </c>
      <c r="M23" s="9" t="s">
        <v>125</v>
      </c>
    </row>
    <row r="24" spans="1:13" ht="27.9" customHeight="1" x14ac:dyDescent="0.3">
      <c r="A24" s="9" t="s">
        <v>126</v>
      </c>
      <c r="B24" s="9" t="s">
        <v>127</v>
      </c>
      <c r="C24" s="9" t="s">
        <v>17</v>
      </c>
      <c r="D24" s="9" t="s">
        <v>18</v>
      </c>
      <c r="E24" s="9" t="s">
        <v>121</v>
      </c>
      <c r="F24" s="9" t="s">
        <v>20</v>
      </c>
      <c r="G24" s="9" t="s">
        <v>128</v>
      </c>
      <c r="H24" s="9" t="s">
        <v>129</v>
      </c>
      <c r="I24" s="9" t="s">
        <v>124</v>
      </c>
      <c r="J24" s="4" t="s">
        <v>24</v>
      </c>
      <c r="K24" s="9" t="s">
        <v>25</v>
      </c>
      <c r="L24" s="9" t="s">
        <v>26</v>
      </c>
      <c r="M24" s="9" t="s">
        <v>125</v>
      </c>
    </row>
    <row r="25" spans="1:13" ht="27.9" customHeight="1" x14ac:dyDescent="0.3">
      <c r="A25" s="9" t="s">
        <v>130</v>
      </c>
      <c r="B25" s="9" t="s">
        <v>131</v>
      </c>
      <c r="C25" s="9" t="s">
        <v>17</v>
      </c>
      <c r="D25" s="9" t="s">
        <v>18</v>
      </c>
      <c r="E25" s="9" t="s">
        <v>121</v>
      </c>
      <c r="F25" s="9" t="s">
        <v>20</v>
      </c>
      <c r="G25" s="9" t="s">
        <v>132</v>
      </c>
      <c r="H25" s="9" t="s">
        <v>133</v>
      </c>
      <c r="I25" s="9" t="s">
        <v>124</v>
      </c>
      <c r="J25" s="4" t="s">
        <v>24</v>
      </c>
      <c r="K25" s="9" t="s">
        <v>25</v>
      </c>
      <c r="L25" s="9" t="s">
        <v>26</v>
      </c>
      <c r="M25" s="9" t="s">
        <v>125</v>
      </c>
    </row>
    <row r="26" spans="1:13" ht="27.9" customHeight="1" x14ac:dyDescent="0.3">
      <c r="A26" s="9" t="s">
        <v>134</v>
      </c>
      <c r="B26" s="9" t="s">
        <v>135</v>
      </c>
      <c r="C26" s="9" t="s">
        <v>17</v>
      </c>
      <c r="D26" s="9" t="s">
        <v>18</v>
      </c>
      <c r="E26" s="9" t="s">
        <v>48</v>
      </c>
      <c r="F26" s="9" t="s">
        <v>20</v>
      </c>
      <c r="G26" s="9" t="s">
        <v>136</v>
      </c>
      <c r="H26" s="9" t="s">
        <v>137</v>
      </c>
      <c r="I26" s="9" t="s">
        <v>138</v>
      </c>
      <c r="J26" s="10" t="s">
        <v>78</v>
      </c>
      <c r="K26" s="9" t="s">
        <v>25</v>
      </c>
      <c r="L26" s="9" t="s">
        <v>26</v>
      </c>
      <c r="M26" s="9" t="s">
        <v>139</v>
      </c>
    </row>
    <row r="27" spans="1:13" ht="27.9" customHeight="1" x14ac:dyDescent="0.3">
      <c r="A27" s="9" t="s">
        <v>140</v>
      </c>
      <c r="B27" s="9" t="s">
        <v>141</v>
      </c>
      <c r="C27" s="9" t="s">
        <v>17</v>
      </c>
      <c r="D27" s="9" t="s">
        <v>18</v>
      </c>
      <c r="E27" s="9" t="s">
        <v>48</v>
      </c>
      <c r="F27" s="9" t="s">
        <v>20</v>
      </c>
      <c r="G27" s="9" t="s">
        <v>142</v>
      </c>
      <c r="H27" s="9" t="s">
        <v>143</v>
      </c>
      <c r="I27" s="9" t="s">
        <v>138</v>
      </c>
      <c r="J27" s="4" t="s">
        <v>24</v>
      </c>
      <c r="K27" s="9" t="s">
        <v>25</v>
      </c>
      <c r="L27" s="9" t="s">
        <v>26</v>
      </c>
      <c r="M27" s="9" t="s">
        <v>144</v>
      </c>
    </row>
    <row r="28" spans="1:13" ht="27.9" customHeight="1" x14ac:dyDescent="0.3">
      <c r="A28" s="9" t="s">
        <v>145</v>
      </c>
      <c r="B28" s="9" t="s">
        <v>146</v>
      </c>
      <c r="C28" s="9" t="s">
        <v>17</v>
      </c>
      <c r="D28" s="9" t="s">
        <v>18</v>
      </c>
      <c r="E28" s="9" t="s">
        <v>48</v>
      </c>
      <c r="F28" s="9" t="s">
        <v>20</v>
      </c>
      <c r="G28" s="9" t="s">
        <v>147</v>
      </c>
      <c r="H28" s="9" t="s">
        <v>148</v>
      </c>
      <c r="I28" s="9" t="s">
        <v>138</v>
      </c>
      <c r="J28" s="4" t="s">
        <v>24</v>
      </c>
      <c r="K28" s="9" t="s">
        <v>25</v>
      </c>
      <c r="L28" s="9" t="s">
        <v>26</v>
      </c>
      <c r="M28" s="9" t="s">
        <v>149</v>
      </c>
    </row>
    <row r="29" spans="1:13" ht="27.9" customHeight="1" x14ac:dyDescent="0.3">
      <c r="A29" s="9" t="s">
        <v>150</v>
      </c>
      <c r="B29" s="9" t="s">
        <v>151</v>
      </c>
      <c r="C29" s="9" t="s">
        <v>17</v>
      </c>
      <c r="D29" s="9" t="s">
        <v>18</v>
      </c>
      <c r="E29" s="9" t="s">
        <v>56</v>
      </c>
      <c r="F29" s="9" t="s">
        <v>20</v>
      </c>
      <c r="G29" s="9" t="s">
        <v>152</v>
      </c>
      <c r="H29" s="9" t="s">
        <v>153</v>
      </c>
      <c r="I29" s="9" t="s">
        <v>154</v>
      </c>
      <c r="J29" s="4" t="s">
        <v>24</v>
      </c>
      <c r="K29" s="9" t="s">
        <v>25</v>
      </c>
      <c r="L29" s="9" t="s">
        <v>26</v>
      </c>
      <c r="M29" s="9" t="s">
        <v>155</v>
      </c>
    </row>
    <row r="30" spans="1:13" ht="27.9" customHeight="1" x14ac:dyDescent="0.3">
      <c r="A30" s="9" t="s">
        <v>156</v>
      </c>
      <c r="B30" s="9" t="s">
        <v>157</v>
      </c>
      <c r="C30" s="9" t="s">
        <v>17</v>
      </c>
      <c r="D30" s="9" t="s">
        <v>18</v>
      </c>
      <c r="E30" s="9" t="s">
        <v>56</v>
      </c>
      <c r="F30" s="9" t="s">
        <v>20</v>
      </c>
      <c r="G30" s="9" t="s">
        <v>158</v>
      </c>
      <c r="H30" s="9" t="s">
        <v>159</v>
      </c>
      <c r="I30" s="9" t="s">
        <v>160</v>
      </c>
      <c r="J30" s="4" t="s">
        <v>24</v>
      </c>
      <c r="K30" s="9" t="s">
        <v>25</v>
      </c>
      <c r="L30" s="9" t="s">
        <v>26</v>
      </c>
      <c r="M30" s="9" t="s">
        <v>161</v>
      </c>
    </row>
    <row r="31" spans="1:13" ht="27.9" customHeight="1" x14ac:dyDescent="0.3">
      <c r="A31" s="9" t="s">
        <v>162</v>
      </c>
      <c r="B31" s="9" t="s">
        <v>163</v>
      </c>
      <c r="C31" s="9" t="s">
        <v>17</v>
      </c>
      <c r="D31" s="9" t="s">
        <v>18</v>
      </c>
      <c r="E31" s="9" t="s">
        <v>56</v>
      </c>
      <c r="F31" s="9" t="s">
        <v>20</v>
      </c>
      <c r="G31" s="9" t="s">
        <v>164</v>
      </c>
      <c r="H31" s="9" t="s">
        <v>165</v>
      </c>
      <c r="I31" s="9" t="s">
        <v>160</v>
      </c>
      <c r="J31" s="4" t="s">
        <v>24</v>
      </c>
      <c r="K31" s="9" t="s">
        <v>25</v>
      </c>
      <c r="L31" s="9" t="s">
        <v>26</v>
      </c>
      <c r="M31" s="9" t="s">
        <v>161</v>
      </c>
    </row>
  </sheetData>
  <autoFilter ref="A1:M31" xr:uid="{00000000-0009-0000-0000-000005000000}"/>
  <mergeCells count="1">
    <mergeCell ref="A1:M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33"/>
  <sheetViews>
    <sheetView workbookViewId="0">
      <pane ySplit="3" topLeftCell="A4" activePane="bottomLeft" state="frozen"/>
      <selection pane="bottomLeft" activeCell="A3" sqref="A3"/>
    </sheetView>
  </sheetViews>
  <sheetFormatPr baseColWidth="10" defaultColWidth="9.109375" defaultRowHeight="14.4" x14ac:dyDescent="0.3"/>
  <cols>
    <col min="1" max="1" width="55" customWidth="1"/>
    <col min="2" max="2" width="54" customWidth="1"/>
    <col min="3" max="3" width="14" customWidth="1"/>
    <col min="4" max="4" width="20" customWidth="1"/>
    <col min="5" max="5" width="26" customWidth="1"/>
    <col min="6" max="9" width="55" customWidth="1"/>
    <col min="10" max="10" width="18" customWidth="1"/>
    <col min="11" max="13" width="55" customWidth="1"/>
  </cols>
  <sheetData>
    <row r="1" spans="1:13" ht="24" customHeight="1" x14ac:dyDescent="0.3">
      <c r="A1" s="21" t="s">
        <v>706</v>
      </c>
      <c r="B1" s="22"/>
      <c r="C1" s="22"/>
      <c r="D1" s="22"/>
      <c r="E1" s="22"/>
      <c r="F1" s="22"/>
      <c r="G1" s="22"/>
      <c r="H1" s="22"/>
      <c r="I1" s="22"/>
      <c r="J1" s="22"/>
      <c r="K1" s="22"/>
      <c r="L1" s="22"/>
      <c r="M1" s="23"/>
    </row>
    <row r="2" spans="1:13" ht="27.9" customHeight="1" x14ac:dyDescent="0.3"/>
    <row r="3" spans="1:13" ht="27.9" customHeight="1" x14ac:dyDescent="0.3">
      <c r="A3" s="20" t="s">
        <v>707</v>
      </c>
      <c r="B3" s="1"/>
      <c r="C3" s="1"/>
      <c r="D3" s="1"/>
      <c r="E3" s="1"/>
      <c r="F3" s="1"/>
      <c r="G3" s="1"/>
      <c r="H3" s="1"/>
      <c r="I3" s="1"/>
      <c r="J3" s="1"/>
      <c r="K3" s="1"/>
      <c r="L3" s="1"/>
      <c r="M3" s="1"/>
    </row>
    <row r="4" spans="1:13" ht="27.9" customHeight="1" x14ac:dyDescent="0.3">
      <c r="A4" s="13" t="s">
        <v>2</v>
      </c>
      <c r="B4" s="13" t="s">
        <v>3</v>
      </c>
      <c r="C4" s="13" t="s">
        <v>4</v>
      </c>
      <c r="D4" s="13" t="s">
        <v>5</v>
      </c>
      <c r="E4" s="13" t="s">
        <v>6</v>
      </c>
      <c r="F4" s="13" t="s">
        <v>7</v>
      </c>
      <c r="G4" s="13" t="s">
        <v>8</v>
      </c>
      <c r="H4" s="13" t="s">
        <v>9</v>
      </c>
      <c r="I4" s="13" t="s">
        <v>10</v>
      </c>
      <c r="J4" s="13" t="s">
        <v>11</v>
      </c>
      <c r="K4" s="13" t="s">
        <v>12</v>
      </c>
      <c r="L4" s="13" t="s">
        <v>13</v>
      </c>
      <c r="M4" s="13" t="s">
        <v>14</v>
      </c>
    </row>
    <row r="5" spans="1:13" ht="27.9" customHeight="1" x14ac:dyDescent="0.3">
      <c r="A5" s="9" t="s">
        <v>708</v>
      </c>
      <c r="B5" s="9" t="s">
        <v>709</v>
      </c>
      <c r="C5" s="9" t="s">
        <v>186</v>
      </c>
      <c r="D5" s="9" t="s">
        <v>491</v>
      </c>
      <c r="E5" s="9" t="s">
        <v>492</v>
      </c>
      <c r="F5" s="9" t="s">
        <v>710</v>
      </c>
      <c r="G5" s="9" t="s">
        <v>711</v>
      </c>
      <c r="H5" s="9" t="s">
        <v>712</v>
      </c>
      <c r="I5" s="9" t="s">
        <v>713</v>
      </c>
      <c r="J5" s="4" t="s">
        <v>714</v>
      </c>
      <c r="K5" s="9" t="s">
        <v>274</v>
      </c>
      <c r="L5" s="9" t="s">
        <v>422</v>
      </c>
      <c r="M5" s="9" t="s">
        <v>715</v>
      </c>
    </row>
    <row r="6" spans="1:13" ht="27.9" customHeight="1" x14ac:dyDescent="0.3">
      <c r="A6" s="9" t="s">
        <v>716</v>
      </c>
      <c r="B6" s="9" t="s">
        <v>717</v>
      </c>
      <c r="C6" s="9" t="s">
        <v>186</v>
      </c>
      <c r="D6" s="9" t="s">
        <v>491</v>
      </c>
      <c r="E6" s="9" t="s">
        <v>492</v>
      </c>
      <c r="F6" s="9" t="s">
        <v>718</v>
      </c>
      <c r="G6" s="9" t="s">
        <v>719</v>
      </c>
      <c r="H6" s="9" t="s">
        <v>720</v>
      </c>
      <c r="I6" s="9" t="s">
        <v>721</v>
      </c>
      <c r="J6" s="4" t="s">
        <v>714</v>
      </c>
      <c r="K6" s="9" t="s">
        <v>274</v>
      </c>
      <c r="L6" s="9" t="s">
        <v>422</v>
      </c>
      <c r="M6" s="9" t="s">
        <v>722</v>
      </c>
    </row>
    <row r="7" spans="1:13" ht="27.9" customHeight="1" x14ac:dyDescent="0.3">
      <c r="A7" s="9" t="s">
        <v>723</v>
      </c>
      <c r="B7" s="9" t="s">
        <v>724</v>
      </c>
      <c r="C7" s="9" t="s">
        <v>186</v>
      </c>
      <c r="D7" s="9" t="s">
        <v>501</v>
      </c>
      <c r="E7" s="9" t="s">
        <v>492</v>
      </c>
      <c r="F7" s="9" t="s">
        <v>725</v>
      </c>
      <c r="G7" s="9" t="s">
        <v>726</v>
      </c>
      <c r="H7" s="9" t="s">
        <v>727</v>
      </c>
      <c r="I7" s="9" t="s">
        <v>728</v>
      </c>
      <c r="J7" s="5" t="s">
        <v>729</v>
      </c>
      <c r="K7" s="9" t="s">
        <v>274</v>
      </c>
      <c r="L7" s="9" t="s">
        <v>422</v>
      </c>
      <c r="M7" s="9" t="s">
        <v>730</v>
      </c>
    </row>
    <row r="8" spans="1:13" ht="27.9" customHeight="1" x14ac:dyDescent="0.3">
      <c r="A8" s="9" t="s">
        <v>731</v>
      </c>
      <c r="B8" s="9" t="s">
        <v>732</v>
      </c>
      <c r="C8" s="9" t="s">
        <v>186</v>
      </c>
      <c r="D8" s="9" t="s">
        <v>501</v>
      </c>
      <c r="E8" s="9" t="s">
        <v>492</v>
      </c>
      <c r="F8" s="9" t="s">
        <v>733</v>
      </c>
      <c r="G8" s="9" t="s">
        <v>734</v>
      </c>
      <c r="H8" s="9" t="s">
        <v>735</v>
      </c>
      <c r="I8" s="9" t="s">
        <v>736</v>
      </c>
      <c r="J8" s="5" t="s">
        <v>729</v>
      </c>
      <c r="K8" s="9" t="s">
        <v>274</v>
      </c>
      <c r="L8" s="9" t="s">
        <v>422</v>
      </c>
      <c r="M8" s="9" t="s">
        <v>737</v>
      </c>
    </row>
    <row r="9" spans="1:13" ht="27.9" customHeight="1" x14ac:dyDescent="0.3">
      <c r="A9" s="9" t="s">
        <v>738</v>
      </c>
      <c r="B9" s="9" t="s">
        <v>732</v>
      </c>
      <c r="C9" s="9" t="s">
        <v>186</v>
      </c>
      <c r="D9" s="9" t="s">
        <v>529</v>
      </c>
      <c r="E9" s="9" t="s">
        <v>492</v>
      </c>
      <c r="F9" s="9" t="s">
        <v>739</v>
      </c>
      <c r="G9" s="9" t="s">
        <v>740</v>
      </c>
      <c r="H9" s="9" t="s">
        <v>741</v>
      </c>
      <c r="I9" s="9" t="s">
        <v>742</v>
      </c>
      <c r="J9" s="4" t="s">
        <v>743</v>
      </c>
      <c r="K9" s="9" t="s">
        <v>421</v>
      </c>
      <c r="L9" s="9" t="s">
        <v>422</v>
      </c>
      <c r="M9" s="9" t="s">
        <v>744</v>
      </c>
    </row>
    <row r="10" spans="1:13" ht="27.9" customHeight="1" x14ac:dyDescent="0.3">
      <c r="A10" s="9" t="s">
        <v>745</v>
      </c>
      <c r="B10" s="9" t="s">
        <v>746</v>
      </c>
      <c r="C10" s="9" t="s">
        <v>186</v>
      </c>
      <c r="D10" s="9" t="s">
        <v>501</v>
      </c>
      <c r="E10" s="9" t="s">
        <v>492</v>
      </c>
      <c r="F10" s="9" t="s">
        <v>747</v>
      </c>
      <c r="G10" s="9" t="s">
        <v>748</v>
      </c>
      <c r="H10" s="9" t="s">
        <v>749</v>
      </c>
      <c r="I10" s="9" t="s">
        <v>750</v>
      </c>
      <c r="J10" s="5" t="s">
        <v>729</v>
      </c>
      <c r="K10" s="9" t="s">
        <v>274</v>
      </c>
      <c r="L10" s="9" t="s">
        <v>422</v>
      </c>
      <c r="M10" s="9" t="s">
        <v>751</v>
      </c>
    </row>
    <row r="11" spans="1:13" ht="27.9" customHeight="1" x14ac:dyDescent="0.3">
      <c r="A11" s="9" t="s">
        <v>752</v>
      </c>
      <c r="B11" s="9" t="s">
        <v>746</v>
      </c>
      <c r="C11" s="9" t="s">
        <v>186</v>
      </c>
      <c r="D11" s="9" t="s">
        <v>501</v>
      </c>
      <c r="E11" s="9" t="s">
        <v>492</v>
      </c>
      <c r="F11" s="9" t="s">
        <v>753</v>
      </c>
      <c r="G11" s="9" t="s">
        <v>754</v>
      </c>
      <c r="H11" s="9" t="s">
        <v>651</v>
      </c>
      <c r="I11" s="9" t="s">
        <v>755</v>
      </c>
      <c r="J11" s="5" t="s">
        <v>729</v>
      </c>
      <c r="K11" s="9" t="s">
        <v>274</v>
      </c>
      <c r="L11" s="9" t="s">
        <v>422</v>
      </c>
      <c r="M11" s="9" t="s">
        <v>756</v>
      </c>
    </row>
    <row r="12" spans="1:13" ht="27.9" customHeight="1" x14ac:dyDescent="0.3">
      <c r="A12" s="9" t="s">
        <v>757</v>
      </c>
      <c r="B12" s="9" t="s">
        <v>746</v>
      </c>
      <c r="C12" s="9" t="s">
        <v>186</v>
      </c>
      <c r="D12" s="9" t="s">
        <v>501</v>
      </c>
      <c r="E12" s="9" t="s">
        <v>492</v>
      </c>
      <c r="F12" s="9" t="s">
        <v>758</v>
      </c>
      <c r="G12" s="9" t="s">
        <v>759</v>
      </c>
      <c r="H12" s="9" t="s">
        <v>760</v>
      </c>
      <c r="I12" s="9" t="s">
        <v>761</v>
      </c>
      <c r="J12" s="5" t="s">
        <v>729</v>
      </c>
      <c r="K12" s="9" t="s">
        <v>274</v>
      </c>
      <c r="L12" s="9" t="s">
        <v>422</v>
      </c>
      <c r="M12" s="9" t="s">
        <v>762</v>
      </c>
    </row>
    <row r="13" spans="1:13" ht="27.9" customHeight="1" x14ac:dyDescent="0.3">
      <c r="A13" s="9" t="s">
        <v>763</v>
      </c>
      <c r="B13" s="9" t="s">
        <v>746</v>
      </c>
      <c r="C13" s="9" t="s">
        <v>186</v>
      </c>
      <c r="D13" s="9" t="s">
        <v>501</v>
      </c>
      <c r="E13" s="9" t="s">
        <v>492</v>
      </c>
      <c r="F13" s="9" t="s">
        <v>764</v>
      </c>
      <c r="G13" s="9" t="s">
        <v>765</v>
      </c>
      <c r="H13" s="9" t="s">
        <v>766</v>
      </c>
      <c r="I13" s="9" t="s">
        <v>767</v>
      </c>
      <c r="J13" s="5" t="s">
        <v>729</v>
      </c>
      <c r="K13" s="9" t="s">
        <v>274</v>
      </c>
      <c r="L13" s="9" t="s">
        <v>422</v>
      </c>
      <c r="M13" s="9" t="s">
        <v>768</v>
      </c>
    </row>
    <row r="14" spans="1:13" ht="27.9" customHeight="1" x14ac:dyDescent="0.3">
      <c r="A14" s="9" t="s">
        <v>769</v>
      </c>
      <c r="B14" s="9" t="s">
        <v>770</v>
      </c>
      <c r="C14" s="9" t="s">
        <v>186</v>
      </c>
      <c r="D14" s="9" t="s">
        <v>529</v>
      </c>
      <c r="E14" s="9" t="s">
        <v>492</v>
      </c>
      <c r="F14" s="9" t="s">
        <v>771</v>
      </c>
      <c r="G14" s="9" t="s">
        <v>772</v>
      </c>
      <c r="H14" s="9" t="s">
        <v>773</v>
      </c>
      <c r="I14" s="9" t="s">
        <v>774</v>
      </c>
      <c r="J14" s="4" t="s">
        <v>743</v>
      </c>
      <c r="K14" s="9" t="s">
        <v>421</v>
      </c>
      <c r="L14" s="9" t="s">
        <v>422</v>
      </c>
      <c r="M14" s="9" t="s">
        <v>775</v>
      </c>
    </row>
    <row r="15" spans="1:13" ht="27.9" customHeight="1" x14ac:dyDescent="0.3">
      <c r="A15" s="9" t="s">
        <v>776</v>
      </c>
      <c r="B15" s="9" t="s">
        <v>770</v>
      </c>
      <c r="C15" s="9" t="s">
        <v>186</v>
      </c>
      <c r="D15" s="9" t="s">
        <v>529</v>
      </c>
      <c r="E15" s="9" t="s">
        <v>492</v>
      </c>
      <c r="F15" s="9" t="s">
        <v>777</v>
      </c>
      <c r="G15" s="9" t="s">
        <v>778</v>
      </c>
      <c r="H15" s="9" t="s">
        <v>779</v>
      </c>
      <c r="I15" s="9" t="s">
        <v>780</v>
      </c>
      <c r="J15" s="4" t="s">
        <v>714</v>
      </c>
      <c r="K15" s="9" t="s">
        <v>421</v>
      </c>
      <c r="L15" s="9" t="s">
        <v>422</v>
      </c>
      <c r="M15" s="9" t="s">
        <v>781</v>
      </c>
    </row>
    <row r="16" spans="1:13" ht="27.9" customHeight="1" x14ac:dyDescent="0.3">
      <c r="A16" s="9" t="s">
        <v>782</v>
      </c>
      <c r="B16" s="9" t="s">
        <v>770</v>
      </c>
      <c r="C16" s="9" t="s">
        <v>186</v>
      </c>
      <c r="D16" s="9" t="s">
        <v>529</v>
      </c>
      <c r="E16" s="9" t="s">
        <v>492</v>
      </c>
      <c r="F16" s="9" t="s">
        <v>783</v>
      </c>
      <c r="G16" s="9" t="s">
        <v>784</v>
      </c>
      <c r="H16" s="9" t="s">
        <v>785</v>
      </c>
      <c r="I16" s="9" t="s">
        <v>786</v>
      </c>
      <c r="J16" s="4" t="s">
        <v>787</v>
      </c>
      <c r="K16" s="9" t="s">
        <v>421</v>
      </c>
      <c r="L16" s="9" t="s">
        <v>422</v>
      </c>
      <c r="M16" s="9" t="s">
        <v>788</v>
      </c>
    </row>
    <row r="17" spans="1:13" ht="27.9" customHeight="1" x14ac:dyDescent="0.3">
      <c r="A17" s="9" t="s">
        <v>789</v>
      </c>
      <c r="B17" s="9" t="s">
        <v>770</v>
      </c>
      <c r="C17" s="9" t="s">
        <v>186</v>
      </c>
      <c r="D17" s="9" t="s">
        <v>529</v>
      </c>
      <c r="E17" s="9" t="s">
        <v>492</v>
      </c>
      <c r="F17" s="9" t="s">
        <v>790</v>
      </c>
      <c r="G17" s="9" t="s">
        <v>791</v>
      </c>
      <c r="H17" s="9" t="s">
        <v>792</v>
      </c>
      <c r="I17" s="9" t="s">
        <v>780</v>
      </c>
      <c r="J17" s="4" t="s">
        <v>714</v>
      </c>
      <c r="K17" s="9" t="s">
        <v>274</v>
      </c>
      <c r="L17" s="9" t="s">
        <v>422</v>
      </c>
      <c r="M17" s="9" t="s">
        <v>793</v>
      </c>
    </row>
    <row r="18" spans="1:13" ht="27.9" customHeight="1" x14ac:dyDescent="0.3">
      <c r="A18" s="9" t="s">
        <v>794</v>
      </c>
      <c r="B18" s="9" t="s">
        <v>795</v>
      </c>
      <c r="C18" s="9" t="s">
        <v>186</v>
      </c>
      <c r="D18" s="9" t="s">
        <v>501</v>
      </c>
      <c r="E18" s="9" t="s">
        <v>492</v>
      </c>
      <c r="F18" s="9" t="s">
        <v>796</v>
      </c>
      <c r="G18" s="9" t="s">
        <v>797</v>
      </c>
      <c r="H18" s="9" t="s">
        <v>798</v>
      </c>
      <c r="I18" s="9" t="s">
        <v>799</v>
      </c>
      <c r="J18" s="4" t="s">
        <v>714</v>
      </c>
      <c r="K18" s="9" t="s">
        <v>421</v>
      </c>
      <c r="L18" s="9" t="s">
        <v>422</v>
      </c>
      <c r="M18" s="9" t="s">
        <v>800</v>
      </c>
    </row>
    <row r="19" spans="1:13" ht="27.9" customHeight="1" x14ac:dyDescent="0.3">
      <c r="A19" s="9" t="s">
        <v>801</v>
      </c>
      <c r="B19" s="9" t="s">
        <v>795</v>
      </c>
      <c r="C19" s="9" t="s">
        <v>186</v>
      </c>
      <c r="D19" s="9" t="s">
        <v>501</v>
      </c>
      <c r="E19" s="9" t="s">
        <v>492</v>
      </c>
      <c r="F19" s="9" t="s">
        <v>802</v>
      </c>
      <c r="G19" s="9" t="s">
        <v>803</v>
      </c>
      <c r="H19" s="9" t="s">
        <v>804</v>
      </c>
      <c r="I19" s="9" t="s">
        <v>799</v>
      </c>
      <c r="J19" s="4" t="s">
        <v>714</v>
      </c>
      <c r="K19" s="9" t="s">
        <v>421</v>
      </c>
      <c r="L19" s="9" t="s">
        <v>422</v>
      </c>
      <c r="M19" s="9" t="s">
        <v>805</v>
      </c>
    </row>
    <row r="20" spans="1:13" ht="27.9" customHeight="1" x14ac:dyDescent="0.3">
      <c r="A20" s="9" t="s">
        <v>806</v>
      </c>
      <c r="B20" s="9" t="s">
        <v>795</v>
      </c>
      <c r="C20" s="9" t="s">
        <v>186</v>
      </c>
      <c r="D20" s="9" t="s">
        <v>501</v>
      </c>
      <c r="E20" s="9" t="s">
        <v>492</v>
      </c>
      <c r="F20" s="9" t="s">
        <v>807</v>
      </c>
      <c r="G20" s="9" t="s">
        <v>808</v>
      </c>
      <c r="H20" s="9" t="s">
        <v>809</v>
      </c>
      <c r="I20" s="9" t="s">
        <v>799</v>
      </c>
      <c r="J20" s="4" t="s">
        <v>714</v>
      </c>
      <c r="K20" s="9" t="s">
        <v>421</v>
      </c>
      <c r="L20" s="9" t="s">
        <v>422</v>
      </c>
      <c r="M20" s="9" t="s">
        <v>810</v>
      </c>
    </row>
    <row r="21" spans="1:13" ht="27.9" customHeight="1" x14ac:dyDescent="0.3">
      <c r="A21" s="9" t="s">
        <v>811</v>
      </c>
      <c r="B21" s="9" t="s">
        <v>795</v>
      </c>
      <c r="C21" s="9" t="s">
        <v>186</v>
      </c>
      <c r="D21" s="9" t="s">
        <v>501</v>
      </c>
      <c r="E21" s="9" t="s">
        <v>492</v>
      </c>
      <c r="F21" s="9" t="s">
        <v>812</v>
      </c>
      <c r="G21" s="9" t="s">
        <v>813</v>
      </c>
      <c r="H21" s="9" t="s">
        <v>814</v>
      </c>
      <c r="I21" s="9" t="s">
        <v>799</v>
      </c>
      <c r="J21" s="5" t="s">
        <v>729</v>
      </c>
      <c r="K21" s="9" t="s">
        <v>421</v>
      </c>
      <c r="L21" s="9" t="s">
        <v>422</v>
      </c>
      <c r="M21" s="9" t="s">
        <v>815</v>
      </c>
    </row>
    <row r="22" spans="1:13" ht="27.9" customHeight="1" x14ac:dyDescent="0.3">
      <c r="A22" s="9" t="s">
        <v>816</v>
      </c>
      <c r="B22" s="9" t="s">
        <v>817</v>
      </c>
      <c r="C22" s="9" t="s">
        <v>186</v>
      </c>
      <c r="D22" s="9" t="s">
        <v>529</v>
      </c>
      <c r="E22" s="9" t="s">
        <v>492</v>
      </c>
      <c r="F22" s="9" t="s">
        <v>818</v>
      </c>
      <c r="G22" s="9" t="s">
        <v>819</v>
      </c>
      <c r="H22" s="9" t="s">
        <v>820</v>
      </c>
      <c r="I22" s="9" t="s">
        <v>780</v>
      </c>
      <c r="J22" s="4" t="s">
        <v>714</v>
      </c>
      <c r="K22" s="9" t="s">
        <v>274</v>
      </c>
      <c r="L22" s="9" t="s">
        <v>422</v>
      </c>
      <c r="M22" s="9" t="s">
        <v>821</v>
      </c>
    </row>
    <row r="23" spans="1:13" ht="27.9" customHeight="1" x14ac:dyDescent="0.3">
      <c r="A23" s="9" t="s">
        <v>822</v>
      </c>
      <c r="B23" s="9" t="s">
        <v>823</v>
      </c>
      <c r="C23" s="9" t="s">
        <v>186</v>
      </c>
      <c r="D23" s="9" t="s">
        <v>636</v>
      </c>
      <c r="E23" s="9" t="s">
        <v>492</v>
      </c>
      <c r="F23" s="9" t="s">
        <v>824</v>
      </c>
      <c r="G23" s="9" t="s">
        <v>825</v>
      </c>
      <c r="H23" s="9" t="s">
        <v>826</v>
      </c>
      <c r="I23" s="9" t="s">
        <v>780</v>
      </c>
      <c r="J23" s="4" t="s">
        <v>714</v>
      </c>
      <c r="K23" s="9" t="s">
        <v>274</v>
      </c>
      <c r="L23" s="9" t="s">
        <v>422</v>
      </c>
      <c r="M23" s="9" t="s">
        <v>827</v>
      </c>
    </row>
    <row r="24" spans="1:13" ht="27.9" customHeight="1" x14ac:dyDescent="0.3">
      <c r="A24" s="9" t="s">
        <v>828</v>
      </c>
      <c r="B24" s="9" t="s">
        <v>829</v>
      </c>
      <c r="C24" s="9" t="s">
        <v>186</v>
      </c>
      <c r="D24" s="9" t="s">
        <v>529</v>
      </c>
      <c r="E24" s="9" t="s">
        <v>492</v>
      </c>
      <c r="F24" s="9" t="s">
        <v>830</v>
      </c>
      <c r="G24" s="9" t="s">
        <v>831</v>
      </c>
      <c r="H24" s="9" t="s">
        <v>832</v>
      </c>
      <c r="I24" s="9" t="s">
        <v>780</v>
      </c>
      <c r="J24" s="4" t="s">
        <v>743</v>
      </c>
      <c r="K24" s="9" t="s">
        <v>421</v>
      </c>
      <c r="L24" s="9" t="s">
        <v>422</v>
      </c>
      <c r="M24" s="9" t="s">
        <v>833</v>
      </c>
    </row>
    <row r="25" spans="1:13" ht="27.9" customHeight="1" x14ac:dyDescent="0.3">
      <c r="A25" s="9" t="s">
        <v>834</v>
      </c>
      <c r="B25" s="9" t="s">
        <v>835</v>
      </c>
      <c r="C25" s="9" t="s">
        <v>186</v>
      </c>
      <c r="D25" s="9" t="s">
        <v>501</v>
      </c>
      <c r="E25" s="9" t="s">
        <v>492</v>
      </c>
      <c r="F25" s="9" t="s">
        <v>836</v>
      </c>
      <c r="G25" s="9" t="s">
        <v>837</v>
      </c>
      <c r="H25" s="9" t="s">
        <v>838</v>
      </c>
      <c r="I25" s="9" t="s">
        <v>839</v>
      </c>
      <c r="J25" s="5" t="s">
        <v>840</v>
      </c>
      <c r="K25" s="9" t="s">
        <v>274</v>
      </c>
      <c r="L25" s="9" t="s">
        <v>422</v>
      </c>
      <c r="M25" s="9" t="s">
        <v>841</v>
      </c>
    </row>
    <row r="26" spans="1:13" ht="27.9" customHeight="1" x14ac:dyDescent="0.3">
      <c r="A26" s="9" t="s">
        <v>842</v>
      </c>
      <c r="B26" s="9" t="s">
        <v>843</v>
      </c>
      <c r="C26" s="9" t="s">
        <v>186</v>
      </c>
      <c r="D26" s="9" t="s">
        <v>501</v>
      </c>
      <c r="E26" s="9" t="s">
        <v>492</v>
      </c>
      <c r="F26" s="9" t="s">
        <v>844</v>
      </c>
      <c r="G26" s="9" t="s">
        <v>845</v>
      </c>
      <c r="H26" s="9" t="s">
        <v>846</v>
      </c>
      <c r="I26" s="9" t="s">
        <v>847</v>
      </c>
      <c r="J26" s="4" t="s">
        <v>714</v>
      </c>
      <c r="K26" s="9" t="s">
        <v>274</v>
      </c>
      <c r="L26" s="9" t="s">
        <v>473</v>
      </c>
      <c r="M26" s="9" t="s">
        <v>848</v>
      </c>
    </row>
    <row r="27" spans="1:13" ht="27.9" customHeight="1" x14ac:dyDescent="0.3">
      <c r="A27" s="9" t="s">
        <v>558</v>
      </c>
      <c r="B27" s="9" t="s">
        <v>849</v>
      </c>
      <c r="C27" s="9" t="s">
        <v>346</v>
      </c>
      <c r="D27" s="9" t="s">
        <v>529</v>
      </c>
      <c r="E27" s="9" t="s">
        <v>850</v>
      </c>
      <c r="F27" s="9" t="s">
        <v>851</v>
      </c>
      <c r="G27" s="9" t="s">
        <v>852</v>
      </c>
      <c r="H27" s="9" t="s">
        <v>853</v>
      </c>
      <c r="I27" s="9" t="s">
        <v>565</v>
      </c>
      <c r="J27" s="4" t="s">
        <v>854</v>
      </c>
      <c r="K27" s="9" t="s">
        <v>421</v>
      </c>
      <c r="L27" s="9" t="s">
        <v>422</v>
      </c>
      <c r="M27" s="9" t="s">
        <v>855</v>
      </c>
    </row>
    <row r="28" spans="1:13" ht="27.9" customHeight="1" x14ac:dyDescent="0.3">
      <c r="A28" s="9" t="s">
        <v>856</v>
      </c>
      <c r="B28" s="9" t="s">
        <v>857</v>
      </c>
      <c r="C28" s="9" t="s">
        <v>346</v>
      </c>
      <c r="D28" s="9" t="s">
        <v>858</v>
      </c>
      <c r="E28" s="9" t="s">
        <v>19</v>
      </c>
      <c r="F28" s="9" t="s">
        <v>859</v>
      </c>
      <c r="G28" s="9" t="s">
        <v>860</v>
      </c>
      <c r="H28" s="9" t="s">
        <v>861</v>
      </c>
      <c r="I28" s="9" t="s">
        <v>862</v>
      </c>
      <c r="J28" s="4" t="s">
        <v>863</v>
      </c>
      <c r="K28" s="9" t="s">
        <v>25</v>
      </c>
      <c r="L28" s="9" t="s">
        <v>864</v>
      </c>
      <c r="M28" s="9" t="s">
        <v>865</v>
      </c>
    </row>
    <row r="29" spans="1:13" ht="27.9" customHeight="1" x14ac:dyDescent="0.3">
      <c r="A29" s="9" t="s">
        <v>866</v>
      </c>
      <c r="B29" s="9" t="s">
        <v>867</v>
      </c>
      <c r="C29" s="9" t="s">
        <v>868</v>
      </c>
      <c r="D29" s="9" t="s">
        <v>869</v>
      </c>
      <c r="E29" s="9" t="s">
        <v>19</v>
      </c>
      <c r="F29" s="9" t="s">
        <v>870</v>
      </c>
      <c r="G29" s="9" t="s">
        <v>871</v>
      </c>
      <c r="H29" s="9" t="s">
        <v>872</v>
      </c>
      <c r="I29" s="9" t="s">
        <v>873</v>
      </c>
      <c r="J29" s="4" t="s">
        <v>874</v>
      </c>
      <c r="K29" s="9" t="s">
        <v>274</v>
      </c>
      <c r="L29" s="9" t="s">
        <v>864</v>
      </c>
      <c r="M29" s="9" t="s">
        <v>875</v>
      </c>
    </row>
    <row r="30" spans="1:13" ht="27.9" customHeight="1" x14ac:dyDescent="0.3">
      <c r="A30" s="9" t="s">
        <v>876</v>
      </c>
      <c r="B30" s="9" t="s">
        <v>877</v>
      </c>
      <c r="C30" s="9" t="s">
        <v>878</v>
      </c>
      <c r="D30" s="9" t="s">
        <v>879</v>
      </c>
      <c r="E30" s="9" t="s">
        <v>356</v>
      </c>
      <c r="F30" s="9" t="s">
        <v>880</v>
      </c>
      <c r="G30" s="9" t="s">
        <v>881</v>
      </c>
      <c r="H30" s="9" t="s">
        <v>882</v>
      </c>
      <c r="I30" s="9" t="s">
        <v>883</v>
      </c>
      <c r="J30" s="11" t="s">
        <v>884</v>
      </c>
      <c r="K30" s="9" t="s">
        <v>484</v>
      </c>
      <c r="L30" s="9" t="s">
        <v>864</v>
      </c>
      <c r="M30" s="9" t="s">
        <v>885</v>
      </c>
    </row>
    <row r="31" spans="1:13" ht="27.9" customHeight="1" x14ac:dyDescent="0.3">
      <c r="A31" s="9" t="s">
        <v>886</v>
      </c>
      <c r="B31" s="9" t="s">
        <v>887</v>
      </c>
      <c r="C31" s="9" t="s">
        <v>888</v>
      </c>
      <c r="D31" s="9" t="s">
        <v>889</v>
      </c>
      <c r="E31" s="9" t="s">
        <v>356</v>
      </c>
      <c r="F31" s="9" t="s">
        <v>890</v>
      </c>
      <c r="G31" s="9" t="s">
        <v>891</v>
      </c>
      <c r="H31" s="9" t="s">
        <v>892</v>
      </c>
      <c r="I31" s="9" t="s">
        <v>893</v>
      </c>
      <c r="J31" s="11" t="s">
        <v>894</v>
      </c>
      <c r="K31" s="9" t="s">
        <v>484</v>
      </c>
      <c r="L31" s="9" t="s">
        <v>864</v>
      </c>
      <c r="M31" s="9" t="s">
        <v>895</v>
      </c>
    </row>
    <row r="32" spans="1:13" ht="27.9" customHeight="1" x14ac:dyDescent="0.3">
      <c r="A32" s="9" t="s">
        <v>896</v>
      </c>
      <c r="B32" s="9" t="s">
        <v>897</v>
      </c>
      <c r="C32" s="9" t="s">
        <v>898</v>
      </c>
      <c r="D32" s="9" t="s">
        <v>879</v>
      </c>
      <c r="E32" s="9" t="s">
        <v>356</v>
      </c>
      <c r="F32" s="9" t="s">
        <v>899</v>
      </c>
      <c r="G32" s="9" t="s">
        <v>900</v>
      </c>
      <c r="H32" s="9" t="s">
        <v>901</v>
      </c>
      <c r="I32" s="9" t="s">
        <v>902</v>
      </c>
      <c r="J32" s="11" t="s">
        <v>894</v>
      </c>
      <c r="K32" s="9" t="s">
        <v>484</v>
      </c>
      <c r="L32" s="9" t="s">
        <v>864</v>
      </c>
      <c r="M32" s="9" t="s">
        <v>903</v>
      </c>
    </row>
    <row r="33" spans="1:13" ht="27.9" customHeight="1" x14ac:dyDescent="0.3">
      <c r="A33" s="9" t="s">
        <v>904</v>
      </c>
      <c r="B33" s="9" t="s">
        <v>905</v>
      </c>
      <c r="C33" s="9" t="s">
        <v>906</v>
      </c>
      <c r="D33" s="9" t="s">
        <v>907</v>
      </c>
      <c r="E33" s="9" t="s">
        <v>908</v>
      </c>
      <c r="F33" s="9" t="s">
        <v>909</v>
      </c>
      <c r="G33" s="9" t="s">
        <v>910</v>
      </c>
      <c r="H33" s="9" t="s">
        <v>911</v>
      </c>
      <c r="I33" s="9" t="s">
        <v>912</v>
      </c>
      <c r="J33" s="11" t="s">
        <v>575</v>
      </c>
      <c r="K33" s="9" t="s">
        <v>484</v>
      </c>
      <c r="L33" s="9" t="s">
        <v>864</v>
      </c>
      <c r="M33" s="9" t="s">
        <v>913</v>
      </c>
    </row>
  </sheetData>
  <autoFilter ref="A1:M33" xr:uid="{00000000-0009-0000-0000-000006000000}"/>
  <mergeCells count="1">
    <mergeCell ref="A1:M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33"/>
  <sheetViews>
    <sheetView workbookViewId="0">
      <pane ySplit="3" topLeftCell="A4" activePane="bottomLeft" state="frozen"/>
      <selection pane="bottomLeft" activeCell="B3" sqref="B3"/>
    </sheetView>
  </sheetViews>
  <sheetFormatPr baseColWidth="10" defaultColWidth="9.109375" defaultRowHeight="14.4" x14ac:dyDescent="0.3"/>
  <cols>
    <col min="1" max="1" width="53" customWidth="1"/>
    <col min="2" max="2" width="55" customWidth="1"/>
    <col min="3" max="3" width="25" customWidth="1"/>
    <col min="4" max="4" width="20" customWidth="1"/>
    <col min="5" max="5" width="26" customWidth="1"/>
    <col min="6" max="6" width="16" customWidth="1"/>
    <col min="7" max="9" width="55" customWidth="1"/>
    <col min="10" max="10" width="38" customWidth="1"/>
    <col min="11" max="11" width="58" customWidth="1"/>
    <col min="12" max="12" width="55" customWidth="1"/>
    <col min="13" max="13" width="70" customWidth="1"/>
  </cols>
  <sheetData>
    <row r="1" spans="1:13" ht="24" customHeight="1" x14ac:dyDescent="0.3">
      <c r="A1" s="21" t="s">
        <v>914</v>
      </c>
      <c r="B1" s="22"/>
      <c r="C1" s="22"/>
      <c r="D1" s="22"/>
      <c r="E1" s="22"/>
      <c r="F1" s="22"/>
      <c r="G1" s="22"/>
      <c r="H1" s="22"/>
      <c r="I1" s="22"/>
      <c r="J1" s="22"/>
      <c r="K1" s="22"/>
      <c r="L1" s="22"/>
      <c r="M1" s="23"/>
    </row>
    <row r="2" spans="1:13" ht="27.9" customHeight="1" x14ac:dyDescent="0.3"/>
    <row r="3" spans="1:13" ht="27.9" customHeight="1" x14ac:dyDescent="0.3">
      <c r="A3" s="20" t="s">
        <v>915</v>
      </c>
      <c r="B3" s="1"/>
      <c r="C3" s="1"/>
      <c r="D3" s="1"/>
      <c r="E3" s="1"/>
      <c r="F3" s="1"/>
      <c r="G3" s="1"/>
      <c r="H3" s="1"/>
      <c r="I3" s="1"/>
      <c r="J3" s="1"/>
      <c r="K3" s="1"/>
      <c r="L3" s="1"/>
      <c r="M3" s="1"/>
    </row>
    <row r="4" spans="1:13" ht="27.9" customHeight="1" x14ac:dyDescent="0.3">
      <c r="A4" s="13" t="s">
        <v>2</v>
      </c>
      <c r="B4" s="13" t="s">
        <v>3</v>
      </c>
      <c r="C4" s="13" t="s">
        <v>4</v>
      </c>
      <c r="D4" s="13" t="s">
        <v>5</v>
      </c>
      <c r="E4" s="13" t="s">
        <v>6</v>
      </c>
      <c r="F4" s="13" t="s">
        <v>7</v>
      </c>
      <c r="G4" s="13" t="s">
        <v>8</v>
      </c>
      <c r="H4" s="13" t="s">
        <v>9</v>
      </c>
      <c r="I4" s="13" t="s">
        <v>10</v>
      </c>
      <c r="J4" s="13" t="s">
        <v>11</v>
      </c>
      <c r="K4" s="13" t="s">
        <v>12</v>
      </c>
      <c r="L4" s="13" t="s">
        <v>13</v>
      </c>
      <c r="M4" s="13" t="s">
        <v>14</v>
      </c>
    </row>
    <row r="5" spans="1:13" ht="48" customHeight="1" x14ac:dyDescent="0.3">
      <c r="A5" s="9" t="s">
        <v>916</v>
      </c>
      <c r="B5" s="9" t="s">
        <v>917</v>
      </c>
      <c r="C5" s="9" t="s">
        <v>191</v>
      </c>
      <c r="D5" s="9" t="s">
        <v>491</v>
      </c>
      <c r="E5" s="9" t="s">
        <v>590</v>
      </c>
      <c r="F5" s="9" t="s">
        <v>918</v>
      </c>
      <c r="G5" s="9" t="s">
        <v>919</v>
      </c>
      <c r="H5" s="9" t="s">
        <v>920</v>
      </c>
      <c r="I5" s="9" t="s">
        <v>921</v>
      </c>
      <c r="J5" s="4" t="s">
        <v>922</v>
      </c>
      <c r="K5" s="9" t="s">
        <v>421</v>
      </c>
      <c r="L5" s="9" t="s">
        <v>442</v>
      </c>
      <c r="M5" s="9" t="s">
        <v>923</v>
      </c>
    </row>
    <row r="6" spans="1:13" ht="48" customHeight="1" x14ac:dyDescent="0.3">
      <c r="A6" s="9" t="s">
        <v>924</v>
      </c>
      <c r="B6" s="9" t="s">
        <v>925</v>
      </c>
      <c r="C6" s="9" t="s">
        <v>191</v>
      </c>
      <c r="D6" s="9" t="s">
        <v>491</v>
      </c>
      <c r="E6" s="9" t="s">
        <v>590</v>
      </c>
      <c r="F6" s="9" t="s">
        <v>926</v>
      </c>
      <c r="G6" s="9" t="s">
        <v>927</v>
      </c>
      <c r="H6" s="9" t="s">
        <v>928</v>
      </c>
      <c r="I6" s="9" t="s">
        <v>929</v>
      </c>
      <c r="J6" s="4" t="s">
        <v>930</v>
      </c>
      <c r="K6" s="9" t="s">
        <v>274</v>
      </c>
      <c r="L6" s="9" t="s">
        <v>442</v>
      </c>
      <c r="M6" s="9" t="s">
        <v>931</v>
      </c>
    </row>
    <row r="7" spans="1:13" ht="48" customHeight="1" x14ac:dyDescent="0.3">
      <c r="A7" s="9" t="s">
        <v>932</v>
      </c>
      <c r="B7" s="9" t="s">
        <v>933</v>
      </c>
      <c r="C7" s="9" t="s">
        <v>191</v>
      </c>
      <c r="D7" s="9" t="s">
        <v>501</v>
      </c>
      <c r="E7" s="9" t="s">
        <v>492</v>
      </c>
      <c r="F7" s="9" t="s">
        <v>934</v>
      </c>
      <c r="G7" s="9" t="s">
        <v>935</v>
      </c>
      <c r="H7" s="9" t="s">
        <v>936</v>
      </c>
      <c r="I7" s="9" t="s">
        <v>937</v>
      </c>
      <c r="J7" s="4" t="s">
        <v>938</v>
      </c>
      <c r="K7" s="9" t="s">
        <v>274</v>
      </c>
      <c r="L7" s="9" t="s">
        <v>442</v>
      </c>
      <c r="M7" s="9" t="s">
        <v>939</v>
      </c>
    </row>
    <row r="8" spans="1:13" ht="48" customHeight="1" x14ac:dyDescent="0.3">
      <c r="A8" s="9" t="s">
        <v>940</v>
      </c>
      <c r="B8" s="9" t="s">
        <v>941</v>
      </c>
      <c r="C8" s="9" t="s">
        <v>191</v>
      </c>
      <c r="D8" s="9" t="s">
        <v>501</v>
      </c>
      <c r="E8" s="9" t="s">
        <v>492</v>
      </c>
      <c r="F8" s="9" t="s">
        <v>942</v>
      </c>
      <c r="G8" s="9" t="s">
        <v>943</v>
      </c>
      <c r="H8" s="9" t="s">
        <v>944</v>
      </c>
      <c r="I8" s="9" t="s">
        <v>921</v>
      </c>
      <c r="J8" s="4" t="s">
        <v>945</v>
      </c>
      <c r="K8" s="9" t="s">
        <v>421</v>
      </c>
      <c r="L8" s="9" t="s">
        <v>442</v>
      </c>
      <c r="M8" s="9" t="s">
        <v>946</v>
      </c>
    </row>
    <row r="9" spans="1:13" ht="48" customHeight="1" x14ac:dyDescent="0.3">
      <c r="A9" s="9" t="s">
        <v>947</v>
      </c>
      <c r="B9" s="9" t="s">
        <v>948</v>
      </c>
      <c r="C9" s="9" t="s">
        <v>191</v>
      </c>
      <c r="D9" s="9" t="s">
        <v>501</v>
      </c>
      <c r="E9" s="9" t="s">
        <v>492</v>
      </c>
      <c r="F9" s="9" t="s">
        <v>949</v>
      </c>
      <c r="G9" s="9" t="s">
        <v>950</v>
      </c>
      <c r="H9" s="9" t="s">
        <v>951</v>
      </c>
      <c r="I9" s="9" t="s">
        <v>937</v>
      </c>
      <c r="J9" s="4" t="s">
        <v>952</v>
      </c>
      <c r="K9" s="9" t="s">
        <v>274</v>
      </c>
      <c r="L9" s="9" t="s">
        <v>442</v>
      </c>
      <c r="M9" s="9" t="s">
        <v>953</v>
      </c>
    </row>
    <row r="10" spans="1:13" ht="48" customHeight="1" x14ac:dyDescent="0.3">
      <c r="A10" s="9" t="s">
        <v>954</v>
      </c>
      <c r="B10" s="9" t="s">
        <v>955</v>
      </c>
      <c r="C10" s="9" t="s">
        <v>191</v>
      </c>
      <c r="D10" s="9" t="s">
        <v>501</v>
      </c>
      <c r="E10" s="9" t="s">
        <v>492</v>
      </c>
      <c r="F10" s="9" t="s">
        <v>956</v>
      </c>
      <c r="G10" s="9" t="s">
        <v>957</v>
      </c>
      <c r="H10" s="9" t="s">
        <v>958</v>
      </c>
      <c r="I10" s="9" t="s">
        <v>937</v>
      </c>
      <c r="J10" s="4" t="s">
        <v>959</v>
      </c>
      <c r="K10" s="9" t="s">
        <v>274</v>
      </c>
      <c r="L10" s="9" t="s">
        <v>442</v>
      </c>
      <c r="M10" s="9" t="s">
        <v>960</v>
      </c>
    </row>
    <row r="11" spans="1:13" ht="48" customHeight="1" x14ac:dyDescent="0.3">
      <c r="A11" s="9" t="s">
        <v>961</v>
      </c>
      <c r="B11" s="9" t="s">
        <v>962</v>
      </c>
      <c r="C11" s="9" t="s">
        <v>191</v>
      </c>
      <c r="D11" s="9" t="s">
        <v>501</v>
      </c>
      <c r="E11" s="9" t="s">
        <v>492</v>
      </c>
      <c r="F11" s="9" t="s">
        <v>963</v>
      </c>
      <c r="G11" s="9" t="s">
        <v>964</v>
      </c>
      <c r="H11" s="9" t="s">
        <v>965</v>
      </c>
      <c r="I11" s="9" t="s">
        <v>937</v>
      </c>
      <c r="J11" s="4" t="s">
        <v>966</v>
      </c>
      <c r="K11" s="9" t="s">
        <v>274</v>
      </c>
      <c r="L11" s="9" t="s">
        <v>442</v>
      </c>
      <c r="M11" s="9" t="s">
        <v>967</v>
      </c>
    </row>
    <row r="12" spans="1:13" ht="48" customHeight="1" x14ac:dyDescent="0.3">
      <c r="A12" s="9" t="s">
        <v>968</v>
      </c>
      <c r="B12" s="9" t="s">
        <v>969</v>
      </c>
      <c r="C12" s="9" t="s">
        <v>191</v>
      </c>
      <c r="D12" s="9" t="s">
        <v>501</v>
      </c>
      <c r="E12" s="9" t="s">
        <v>492</v>
      </c>
      <c r="F12" s="9" t="s">
        <v>970</v>
      </c>
      <c r="G12" s="9" t="s">
        <v>971</v>
      </c>
      <c r="H12" s="9" t="s">
        <v>972</v>
      </c>
      <c r="I12" s="9" t="s">
        <v>937</v>
      </c>
      <c r="J12" s="4" t="s">
        <v>973</v>
      </c>
      <c r="K12" s="9" t="s">
        <v>274</v>
      </c>
      <c r="L12" s="9" t="s">
        <v>442</v>
      </c>
      <c r="M12" s="9" t="s">
        <v>974</v>
      </c>
    </row>
    <row r="13" spans="1:13" ht="48" customHeight="1" x14ac:dyDescent="0.3">
      <c r="A13" s="9" t="s">
        <v>975</v>
      </c>
      <c r="B13" s="9" t="s">
        <v>976</v>
      </c>
      <c r="C13" s="9" t="s">
        <v>191</v>
      </c>
      <c r="D13" s="9" t="s">
        <v>501</v>
      </c>
      <c r="E13" s="9" t="s">
        <v>492</v>
      </c>
      <c r="F13" s="9" t="s">
        <v>977</v>
      </c>
      <c r="G13" s="9" t="s">
        <v>978</v>
      </c>
      <c r="H13" s="9" t="s">
        <v>979</v>
      </c>
      <c r="I13" s="9" t="s">
        <v>980</v>
      </c>
      <c r="J13" s="4" t="s">
        <v>981</v>
      </c>
      <c r="K13" s="9" t="s">
        <v>421</v>
      </c>
      <c r="L13" s="9" t="s">
        <v>442</v>
      </c>
      <c r="M13" s="9" t="s">
        <v>982</v>
      </c>
    </row>
    <row r="14" spans="1:13" ht="48" customHeight="1" x14ac:dyDescent="0.3">
      <c r="A14" s="9" t="s">
        <v>983</v>
      </c>
      <c r="B14" s="9" t="s">
        <v>984</v>
      </c>
      <c r="C14" s="9" t="s">
        <v>191</v>
      </c>
      <c r="D14" s="9" t="s">
        <v>501</v>
      </c>
      <c r="E14" s="9" t="s">
        <v>492</v>
      </c>
      <c r="F14" s="9" t="s">
        <v>985</v>
      </c>
      <c r="G14" s="9" t="s">
        <v>986</v>
      </c>
      <c r="H14" s="9" t="s">
        <v>987</v>
      </c>
      <c r="I14" s="9" t="s">
        <v>980</v>
      </c>
      <c r="J14" s="4" t="s">
        <v>988</v>
      </c>
      <c r="K14" s="9" t="s">
        <v>421</v>
      </c>
      <c r="L14" s="9" t="s">
        <v>442</v>
      </c>
      <c r="M14" s="9" t="s">
        <v>989</v>
      </c>
    </row>
    <row r="15" spans="1:13" ht="48" customHeight="1" x14ac:dyDescent="0.3">
      <c r="A15" s="9" t="s">
        <v>990</v>
      </c>
      <c r="B15" s="9" t="s">
        <v>991</v>
      </c>
      <c r="C15" s="9" t="s">
        <v>191</v>
      </c>
      <c r="D15" s="9" t="s">
        <v>501</v>
      </c>
      <c r="E15" s="9" t="s">
        <v>492</v>
      </c>
      <c r="F15" s="9" t="s">
        <v>992</v>
      </c>
      <c r="G15" s="9" t="s">
        <v>993</v>
      </c>
      <c r="H15" s="9" t="s">
        <v>994</v>
      </c>
      <c r="I15" s="9" t="s">
        <v>937</v>
      </c>
      <c r="J15" s="4" t="s">
        <v>995</v>
      </c>
      <c r="K15" s="9" t="s">
        <v>274</v>
      </c>
      <c r="L15" s="9" t="s">
        <v>442</v>
      </c>
      <c r="M15" s="9" t="s">
        <v>996</v>
      </c>
    </row>
    <row r="16" spans="1:13" ht="48" customHeight="1" x14ac:dyDescent="0.3">
      <c r="A16" s="9" t="s">
        <v>997</v>
      </c>
      <c r="B16" s="9" t="s">
        <v>998</v>
      </c>
      <c r="C16" s="9" t="s">
        <v>191</v>
      </c>
      <c r="D16" s="9" t="s">
        <v>501</v>
      </c>
      <c r="E16" s="9" t="s">
        <v>492</v>
      </c>
      <c r="F16" s="9" t="s">
        <v>999</v>
      </c>
      <c r="G16" s="9" t="s">
        <v>1000</v>
      </c>
      <c r="H16" s="9" t="s">
        <v>1001</v>
      </c>
      <c r="I16" s="9" t="s">
        <v>937</v>
      </c>
      <c r="J16" s="4" t="s">
        <v>1002</v>
      </c>
      <c r="K16" s="9" t="s">
        <v>274</v>
      </c>
      <c r="L16" s="9" t="s">
        <v>442</v>
      </c>
      <c r="M16" s="9" t="s">
        <v>1003</v>
      </c>
    </row>
    <row r="17" spans="1:13" ht="48" customHeight="1" x14ac:dyDescent="0.3">
      <c r="A17" s="9" t="s">
        <v>1004</v>
      </c>
      <c r="B17" s="9" t="s">
        <v>1005</v>
      </c>
      <c r="C17" s="9" t="s">
        <v>191</v>
      </c>
      <c r="D17" s="9" t="s">
        <v>529</v>
      </c>
      <c r="E17" s="9" t="s">
        <v>492</v>
      </c>
      <c r="F17" s="9" t="s">
        <v>1006</v>
      </c>
      <c r="G17" s="9" t="s">
        <v>1007</v>
      </c>
      <c r="H17" s="9" t="s">
        <v>1008</v>
      </c>
      <c r="I17" s="9" t="s">
        <v>1009</v>
      </c>
      <c r="J17" s="4" t="s">
        <v>1010</v>
      </c>
      <c r="K17" s="9" t="s">
        <v>52</v>
      </c>
      <c r="L17" s="9" t="s">
        <v>442</v>
      </c>
      <c r="M17" s="9" t="s">
        <v>1011</v>
      </c>
    </row>
    <row r="18" spans="1:13" ht="48" customHeight="1" x14ac:dyDescent="0.3">
      <c r="A18" s="9" t="s">
        <v>1012</v>
      </c>
      <c r="B18" s="9" t="s">
        <v>1013</v>
      </c>
      <c r="C18" s="9" t="s">
        <v>191</v>
      </c>
      <c r="D18" s="9" t="s">
        <v>501</v>
      </c>
      <c r="E18" s="9" t="s">
        <v>492</v>
      </c>
      <c r="F18" s="9" t="s">
        <v>1014</v>
      </c>
      <c r="G18" s="9" t="s">
        <v>1015</v>
      </c>
      <c r="H18" s="9" t="s">
        <v>1016</v>
      </c>
      <c r="I18" s="9" t="s">
        <v>921</v>
      </c>
      <c r="J18" s="10" t="s">
        <v>1017</v>
      </c>
      <c r="K18" s="9" t="s">
        <v>274</v>
      </c>
      <c r="L18" s="9" t="s">
        <v>442</v>
      </c>
      <c r="M18" s="9" t="s">
        <v>1018</v>
      </c>
    </row>
    <row r="19" spans="1:13" ht="48" customHeight="1" x14ac:dyDescent="0.3">
      <c r="A19" s="9" t="s">
        <v>1019</v>
      </c>
      <c r="B19" s="9" t="s">
        <v>1020</v>
      </c>
      <c r="C19" s="9" t="s">
        <v>191</v>
      </c>
      <c r="D19" s="9" t="s">
        <v>1021</v>
      </c>
      <c r="E19" s="9" t="s">
        <v>492</v>
      </c>
      <c r="F19" s="9" t="s">
        <v>1022</v>
      </c>
      <c r="G19" s="9" t="s">
        <v>1023</v>
      </c>
      <c r="H19" s="9" t="s">
        <v>1024</v>
      </c>
      <c r="I19" s="9" t="s">
        <v>1025</v>
      </c>
      <c r="J19" s="4" t="s">
        <v>1026</v>
      </c>
      <c r="K19" s="9" t="s">
        <v>421</v>
      </c>
      <c r="L19" s="9" t="s">
        <v>1027</v>
      </c>
      <c r="M19" s="9" t="s">
        <v>1028</v>
      </c>
    </row>
    <row r="20" spans="1:13" ht="48" customHeight="1" x14ac:dyDescent="0.3">
      <c r="A20" s="9" t="s">
        <v>1029</v>
      </c>
      <c r="B20" s="9" t="s">
        <v>1030</v>
      </c>
      <c r="C20" s="9" t="s">
        <v>191</v>
      </c>
      <c r="D20" s="9" t="s">
        <v>1021</v>
      </c>
      <c r="E20" s="9" t="s">
        <v>492</v>
      </c>
      <c r="F20" s="9" t="s">
        <v>1031</v>
      </c>
      <c r="G20" s="9" t="s">
        <v>1032</v>
      </c>
      <c r="H20" s="9" t="s">
        <v>1033</v>
      </c>
      <c r="I20" s="9" t="s">
        <v>1025</v>
      </c>
      <c r="J20" s="4" t="s">
        <v>1034</v>
      </c>
      <c r="K20" s="9" t="s">
        <v>421</v>
      </c>
      <c r="L20" s="9" t="s">
        <v>1027</v>
      </c>
      <c r="M20" s="9" t="s">
        <v>1035</v>
      </c>
    </row>
    <row r="21" spans="1:13" ht="48" customHeight="1" x14ac:dyDescent="0.3">
      <c r="A21" s="9" t="s">
        <v>1036</v>
      </c>
      <c r="B21" s="9" t="s">
        <v>1037</v>
      </c>
      <c r="C21" s="9" t="s">
        <v>191</v>
      </c>
      <c r="D21" s="9" t="s">
        <v>1021</v>
      </c>
      <c r="E21" s="9" t="s">
        <v>492</v>
      </c>
      <c r="F21" s="9" t="s">
        <v>1038</v>
      </c>
      <c r="G21" s="9" t="s">
        <v>1039</v>
      </c>
      <c r="H21" s="9" t="s">
        <v>1040</v>
      </c>
      <c r="I21" s="9" t="s">
        <v>1025</v>
      </c>
      <c r="J21" s="4" t="s">
        <v>1041</v>
      </c>
      <c r="K21" s="9" t="s">
        <v>421</v>
      </c>
      <c r="L21" s="9" t="s">
        <v>1027</v>
      </c>
      <c r="M21" s="9" t="s">
        <v>1042</v>
      </c>
    </row>
    <row r="22" spans="1:13" ht="48" customHeight="1" x14ac:dyDescent="0.3">
      <c r="A22" s="9" t="s">
        <v>1043</v>
      </c>
      <c r="B22" s="9" t="s">
        <v>1044</v>
      </c>
      <c r="C22" s="9" t="s">
        <v>191</v>
      </c>
      <c r="D22" s="9" t="s">
        <v>1021</v>
      </c>
      <c r="E22" s="9" t="s">
        <v>492</v>
      </c>
      <c r="F22" s="9" t="s">
        <v>1045</v>
      </c>
      <c r="G22" s="9" t="s">
        <v>1046</v>
      </c>
      <c r="H22" s="9" t="s">
        <v>1047</v>
      </c>
      <c r="I22" s="9" t="s">
        <v>1025</v>
      </c>
      <c r="J22" s="4" t="s">
        <v>1048</v>
      </c>
      <c r="K22" s="9" t="s">
        <v>25</v>
      </c>
      <c r="L22" s="9" t="s">
        <v>1027</v>
      </c>
      <c r="M22" s="9" t="s">
        <v>1049</v>
      </c>
    </row>
    <row r="23" spans="1:13" ht="48" customHeight="1" x14ac:dyDescent="0.3">
      <c r="A23" s="9" t="s">
        <v>1050</v>
      </c>
      <c r="B23" s="9" t="s">
        <v>1051</v>
      </c>
      <c r="C23" s="9" t="s">
        <v>191</v>
      </c>
      <c r="D23" s="9" t="s">
        <v>1021</v>
      </c>
      <c r="E23" s="9" t="s">
        <v>492</v>
      </c>
      <c r="F23" s="9" t="s">
        <v>1052</v>
      </c>
      <c r="G23" s="9" t="s">
        <v>1053</v>
      </c>
      <c r="H23" s="9" t="s">
        <v>1054</v>
      </c>
      <c r="I23" s="9" t="s">
        <v>1025</v>
      </c>
      <c r="J23" s="4" t="s">
        <v>1055</v>
      </c>
      <c r="K23" s="9" t="s">
        <v>25</v>
      </c>
      <c r="L23" s="9" t="s">
        <v>1027</v>
      </c>
      <c r="M23" s="9" t="s">
        <v>1056</v>
      </c>
    </row>
    <row r="24" spans="1:13" ht="48" customHeight="1" x14ac:dyDescent="0.3">
      <c r="A24" s="9" t="s">
        <v>1057</v>
      </c>
      <c r="B24" s="9" t="s">
        <v>1058</v>
      </c>
      <c r="C24" s="9" t="s">
        <v>191</v>
      </c>
      <c r="D24" s="9" t="s">
        <v>1021</v>
      </c>
      <c r="E24" s="9" t="s">
        <v>492</v>
      </c>
      <c r="F24" s="9" t="s">
        <v>1059</v>
      </c>
      <c r="G24" s="9" t="s">
        <v>1060</v>
      </c>
      <c r="H24" s="9" t="s">
        <v>1061</v>
      </c>
      <c r="I24" s="9" t="s">
        <v>1062</v>
      </c>
      <c r="J24" s="4" t="s">
        <v>1063</v>
      </c>
      <c r="K24" s="9" t="s">
        <v>25</v>
      </c>
      <c r="L24" s="9" t="s">
        <v>442</v>
      </c>
      <c r="M24" s="9" t="s">
        <v>1064</v>
      </c>
    </row>
    <row r="25" spans="1:13" ht="48" customHeight="1" x14ac:dyDescent="0.3">
      <c r="A25" s="9" t="s">
        <v>1065</v>
      </c>
      <c r="B25" s="9" t="s">
        <v>1066</v>
      </c>
      <c r="C25" s="9" t="s">
        <v>191</v>
      </c>
      <c r="D25" s="9" t="s">
        <v>1067</v>
      </c>
      <c r="E25" s="9" t="s">
        <v>1068</v>
      </c>
      <c r="F25" s="9" t="s">
        <v>1069</v>
      </c>
      <c r="G25" s="9" t="s">
        <v>350</v>
      </c>
      <c r="H25" s="9" t="s">
        <v>1070</v>
      </c>
      <c r="I25" s="9" t="s">
        <v>1071</v>
      </c>
      <c r="J25" s="4" t="s">
        <v>1072</v>
      </c>
      <c r="K25" s="9" t="s">
        <v>274</v>
      </c>
      <c r="L25" s="9" t="s">
        <v>410</v>
      </c>
      <c r="M25" s="9" t="s">
        <v>1073</v>
      </c>
    </row>
    <row r="26" spans="1:13" ht="48" customHeight="1" x14ac:dyDescent="0.3">
      <c r="A26" s="9" t="s">
        <v>1074</v>
      </c>
      <c r="B26" s="9" t="s">
        <v>1075</v>
      </c>
      <c r="C26" s="9" t="s">
        <v>191</v>
      </c>
      <c r="D26" s="9" t="s">
        <v>1076</v>
      </c>
      <c r="E26" s="9" t="s">
        <v>19</v>
      </c>
      <c r="F26" s="9" t="s">
        <v>1077</v>
      </c>
      <c r="G26" s="9" t="s">
        <v>274</v>
      </c>
      <c r="H26" s="9" t="s">
        <v>1078</v>
      </c>
      <c r="I26" s="9" t="s">
        <v>1079</v>
      </c>
      <c r="J26" s="4" t="s">
        <v>1080</v>
      </c>
      <c r="K26" s="9" t="s">
        <v>274</v>
      </c>
      <c r="L26" s="9" t="s">
        <v>442</v>
      </c>
      <c r="M26" s="9" t="s">
        <v>1081</v>
      </c>
    </row>
    <row r="27" spans="1:13" ht="48" customHeight="1" x14ac:dyDescent="0.3">
      <c r="A27" s="9" t="s">
        <v>1082</v>
      </c>
      <c r="B27" s="9" t="s">
        <v>1083</v>
      </c>
      <c r="C27" s="9" t="s">
        <v>191</v>
      </c>
      <c r="D27" s="9" t="s">
        <v>1084</v>
      </c>
      <c r="E27" s="9" t="s">
        <v>19</v>
      </c>
      <c r="F27" s="9" t="s">
        <v>1085</v>
      </c>
      <c r="G27" s="9" t="s">
        <v>1086</v>
      </c>
      <c r="H27" s="9" t="s">
        <v>1087</v>
      </c>
      <c r="I27" s="9" t="s">
        <v>1088</v>
      </c>
      <c r="J27" s="4" t="s">
        <v>1089</v>
      </c>
      <c r="K27" s="9" t="s">
        <v>274</v>
      </c>
      <c r="L27" s="9" t="s">
        <v>442</v>
      </c>
      <c r="M27" s="9" t="s">
        <v>1090</v>
      </c>
    </row>
    <row r="28" spans="1:13" ht="48" customHeight="1" x14ac:dyDescent="0.3">
      <c r="A28" s="9" t="s">
        <v>1091</v>
      </c>
      <c r="B28" s="9" t="s">
        <v>1092</v>
      </c>
      <c r="C28" s="9" t="s">
        <v>435</v>
      </c>
      <c r="D28" s="9" t="s">
        <v>1093</v>
      </c>
      <c r="E28" s="9" t="s">
        <v>850</v>
      </c>
      <c r="F28" s="9" t="s">
        <v>1094</v>
      </c>
      <c r="G28" s="9" t="s">
        <v>1095</v>
      </c>
      <c r="H28" s="9" t="s">
        <v>1096</v>
      </c>
      <c r="I28" s="9" t="s">
        <v>440</v>
      </c>
      <c r="J28" s="4" t="s">
        <v>1097</v>
      </c>
      <c r="K28" s="9" t="s">
        <v>25</v>
      </c>
      <c r="L28" s="9" t="s">
        <v>442</v>
      </c>
      <c r="M28" s="9" t="s">
        <v>1098</v>
      </c>
    </row>
    <row r="29" spans="1:13" ht="135" customHeight="1" x14ac:dyDescent="0.3">
      <c r="A29" s="9" t="s">
        <v>1099</v>
      </c>
      <c r="B29" s="9" t="s">
        <v>1100</v>
      </c>
      <c r="C29" s="9" t="s">
        <v>435</v>
      </c>
      <c r="D29" s="9" t="s">
        <v>529</v>
      </c>
      <c r="E29" s="9" t="s">
        <v>1101</v>
      </c>
      <c r="F29" s="9" t="s">
        <v>1102</v>
      </c>
      <c r="G29" s="9" t="s">
        <v>1103</v>
      </c>
      <c r="H29" s="9" t="s">
        <v>1104</v>
      </c>
      <c r="I29" s="9" t="s">
        <v>1105</v>
      </c>
      <c r="J29" s="4" t="s">
        <v>874</v>
      </c>
      <c r="K29" s="9" t="s">
        <v>484</v>
      </c>
      <c r="L29" s="9" t="s">
        <v>485</v>
      </c>
      <c r="M29" s="9" t="s">
        <v>1106</v>
      </c>
    </row>
    <row r="30" spans="1:13" ht="90" customHeight="1" x14ac:dyDescent="0.3">
      <c r="A30" s="9" t="s">
        <v>1107</v>
      </c>
      <c r="B30" s="9" t="s">
        <v>1108</v>
      </c>
      <c r="C30" s="9" t="s">
        <v>435</v>
      </c>
      <c r="D30" s="9" t="s">
        <v>1109</v>
      </c>
      <c r="E30" s="9" t="s">
        <v>1110</v>
      </c>
      <c r="F30" s="9" t="s">
        <v>1111</v>
      </c>
      <c r="G30" s="9" t="s">
        <v>1112</v>
      </c>
      <c r="H30" s="9" t="s">
        <v>1113</v>
      </c>
      <c r="I30" s="9" t="s">
        <v>546</v>
      </c>
      <c r="J30" s="4" t="s">
        <v>575</v>
      </c>
      <c r="K30" s="9" t="s">
        <v>484</v>
      </c>
      <c r="L30" s="9" t="s">
        <v>485</v>
      </c>
      <c r="M30" s="9" t="s">
        <v>1114</v>
      </c>
    </row>
    <row r="31" spans="1:13" ht="75" customHeight="1" x14ac:dyDescent="0.3">
      <c r="A31" s="9" t="s">
        <v>1115</v>
      </c>
      <c r="B31" s="9" t="s">
        <v>445</v>
      </c>
      <c r="C31" s="9" t="s">
        <v>446</v>
      </c>
      <c r="D31" s="9" t="s">
        <v>1116</v>
      </c>
      <c r="E31" s="9" t="s">
        <v>1117</v>
      </c>
      <c r="F31" s="9" t="s">
        <v>1118</v>
      </c>
      <c r="G31" s="9" t="s">
        <v>1119</v>
      </c>
      <c r="H31" s="9" t="s">
        <v>1120</v>
      </c>
      <c r="I31" s="9" t="s">
        <v>451</v>
      </c>
      <c r="J31" s="4" t="s">
        <v>874</v>
      </c>
      <c r="K31" s="9" t="s">
        <v>484</v>
      </c>
      <c r="L31" s="9" t="s">
        <v>485</v>
      </c>
      <c r="M31" s="9" t="s">
        <v>1121</v>
      </c>
    </row>
    <row r="32" spans="1:13" ht="135" customHeight="1" x14ac:dyDescent="0.3">
      <c r="A32" s="9" t="s">
        <v>1122</v>
      </c>
      <c r="B32" s="9" t="s">
        <v>1123</v>
      </c>
      <c r="C32" s="9" t="s">
        <v>1124</v>
      </c>
      <c r="D32" s="9" t="s">
        <v>529</v>
      </c>
      <c r="E32" s="9" t="s">
        <v>1125</v>
      </c>
      <c r="F32" s="9" t="s">
        <v>1126</v>
      </c>
      <c r="G32" s="9" t="s">
        <v>1127</v>
      </c>
      <c r="H32" s="9" t="s">
        <v>1128</v>
      </c>
      <c r="I32" s="9" t="s">
        <v>1129</v>
      </c>
      <c r="J32" s="5" t="s">
        <v>1130</v>
      </c>
      <c r="K32" s="9" t="s">
        <v>1131</v>
      </c>
      <c r="L32" s="9" t="s">
        <v>485</v>
      </c>
      <c r="M32" s="9" t="s">
        <v>1132</v>
      </c>
    </row>
    <row r="33" spans="1:13" ht="100.8" x14ac:dyDescent="0.3">
      <c r="A33" s="9" t="s">
        <v>1133</v>
      </c>
      <c r="B33" s="9" t="s">
        <v>1134</v>
      </c>
      <c r="C33" s="9" t="s">
        <v>191</v>
      </c>
      <c r="D33" s="9" t="s">
        <v>1135</v>
      </c>
      <c r="E33" s="9" t="s">
        <v>19</v>
      </c>
      <c r="F33" s="9" t="s">
        <v>1136</v>
      </c>
      <c r="G33" s="9" t="s">
        <v>1137</v>
      </c>
      <c r="H33" s="9" t="s">
        <v>1138</v>
      </c>
      <c r="I33" s="9" t="s">
        <v>1139</v>
      </c>
      <c r="J33" s="5" t="s">
        <v>1140</v>
      </c>
      <c r="K33" s="9" t="s">
        <v>274</v>
      </c>
      <c r="L33" s="9" t="s">
        <v>1141</v>
      </c>
      <c r="M33" s="9" t="s">
        <v>1142</v>
      </c>
    </row>
  </sheetData>
  <autoFilter ref="A1:M27" xr:uid="{00000000-0009-0000-0000-000007000000}"/>
  <mergeCells count="1">
    <mergeCell ref="A1:M1"/>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50"/>
  <sheetViews>
    <sheetView workbookViewId="0">
      <pane ySplit="3" topLeftCell="A4" activePane="bottomLeft" state="frozen"/>
      <selection pane="bottomLeft" activeCell="A3" sqref="A3"/>
    </sheetView>
  </sheetViews>
  <sheetFormatPr baseColWidth="10" defaultColWidth="9.109375" defaultRowHeight="14.4" x14ac:dyDescent="0.3"/>
  <cols>
    <col min="1" max="1" width="44" customWidth="1"/>
    <col min="2" max="2" width="40" customWidth="1"/>
    <col min="3" max="3" width="55" customWidth="1"/>
    <col min="4" max="4" width="42" customWidth="1"/>
    <col min="5" max="5" width="55" customWidth="1"/>
  </cols>
  <sheetData>
    <row r="1" spans="1:5" ht="24" customHeight="1" x14ac:dyDescent="0.3">
      <c r="A1" s="21" t="s">
        <v>1143</v>
      </c>
      <c r="B1" s="22"/>
      <c r="C1" s="22"/>
      <c r="D1" s="22"/>
      <c r="E1" s="23"/>
    </row>
    <row r="2" spans="1:5" ht="27.9" customHeight="1" x14ac:dyDescent="0.3"/>
    <row r="3" spans="1:5" ht="27.9" customHeight="1" x14ac:dyDescent="0.3">
      <c r="A3" s="20" t="s">
        <v>1144</v>
      </c>
      <c r="B3" s="1"/>
      <c r="C3" s="1"/>
      <c r="D3" s="1"/>
      <c r="E3" s="1"/>
    </row>
    <row r="4" spans="1:5" ht="27.9" customHeight="1" x14ac:dyDescent="0.3">
      <c r="A4" s="13" t="s">
        <v>2</v>
      </c>
      <c r="B4" s="13" t="s">
        <v>4</v>
      </c>
      <c r="C4" s="13" t="s">
        <v>1145</v>
      </c>
      <c r="D4" s="13" t="s">
        <v>1146</v>
      </c>
      <c r="E4" s="13" t="s">
        <v>1147</v>
      </c>
    </row>
    <row r="5" spans="1:5" ht="27.9" customHeight="1" x14ac:dyDescent="0.3">
      <c r="A5" s="9" t="s">
        <v>1148</v>
      </c>
      <c r="B5" s="9" t="s">
        <v>17</v>
      </c>
      <c r="C5" s="9" t="s">
        <v>274</v>
      </c>
      <c r="D5" s="9" t="s">
        <v>1149</v>
      </c>
      <c r="E5" s="9" t="s">
        <v>1150</v>
      </c>
    </row>
    <row r="6" spans="1:5" ht="27.9" customHeight="1" x14ac:dyDescent="0.3">
      <c r="A6" s="9" t="s">
        <v>1151</v>
      </c>
      <c r="B6" s="9" t="s">
        <v>17</v>
      </c>
      <c r="C6" s="9" t="s">
        <v>274</v>
      </c>
      <c r="D6" s="9" t="s">
        <v>1152</v>
      </c>
      <c r="E6" s="9" t="s">
        <v>1153</v>
      </c>
    </row>
    <row r="7" spans="1:5" ht="27.9" customHeight="1" x14ac:dyDescent="0.3">
      <c r="A7" s="9" t="s">
        <v>1154</v>
      </c>
      <c r="B7" s="9" t="s">
        <v>186</v>
      </c>
      <c r="C7" s="9" t="s">
        <v>274</v>
      </c>
      <c r="D7" s="9" t="s">
        <v>1155</v>
      </c>
      <c r="E7" s="9" t="s">
        <v>1156</v>
      </c>
    </row>
    <row r="8" spans="1:5" ht="27.9" customHeight="1" x14ac:dyDescent="0.3">
      <c r="A8" s="9" t="s">
        <v>1157</v>
      </c>
      <c r="B8" s="9" t="s">
        <v>186</v>
      </c>
      <c r="C8" s="9" t="s">
        <v>274</v>
      </c>
      <c r="D8" s="9" t="s">
        <v>1158</v>
      </c>
      <c r="E8" s="9" t="s">
        <v>1159</v>
      </c>
    </row>
    <row r="9" spans="1:5" ht="27.9" customHeight="1" x14ac:dyDescent="0.3">
      <c r="A9" s="9" t="s">
        <v>1160</v>
      </c>
      <c r="B9" s="9" t="s">
        <v>186</v>
      </c>
      <c r="C9" s="9" t="s">
        <v>274</v>
      </c>
      <c r="D9" s="9" t="s">
        <v>1161</v>
      </c>
      <c r="E9" s="9" t="s">
        <v>1162</v>
      </c>
    </row>
    <row r="10" spans="1:5" ht="27.9" customHeight="1" x14ac:dyDescent="0.3">
      <c r="A10" s="9" t="s">
        <v>1163</v>
      </c>
      <c r="B10" s="9" t="s">
        <v>191</v>
      </c>
      <c r="C10" s="9" t="s">
        <v>274</v>
      </c>
      <c r="D10" s="9" t="s">
        <v>1155</v>
      </c>
      <c r="E10" s="9" t="s">
        <v>1164</v>
      </c>
    </row>
    <row r="11" spans="1:5" ht="27.9" customHeight="1" x14ac:dyDescent="0.3">
      <c r="A11" s="9" t="s">
        <v>1165</v>
      </c>
      <c r="B11" s="9" t="s">
        <v>191</v>
      </c>
      <c r="C11" s="9" t="s">
        <v>274</v>
      </c>
      <c r="D11" s="9" t="s">
        <v>1166</v>
      </c>
      <c r="E11" s="9" t="s">
        <v>1167</v>
      </c>
    </row>
    <row r="12" spans="1:5" ht="27.9" customHeight="1" x14ac:dyDescent="0.3">
      <c r="A12" s="9" t="s">
        <v>1168</v>
      </c>
      <c r="B12" s="9" t="s">
        <v>435</v>
      </c>
      <c r="C12" s="9" t="s">
        <v>274</v>
      </c>
      <c r="D12" s="9" t="s">
        <v>1169</v>
      </c>
      <c r="E12" s="9" t="s">
        <v>1170</v>
      </c>
    </row>
    <row r="13" spans="1:5" ht="27.9" customHeight="1" x14ac:dyDescent="0.3">
      <c r="A13" s="9" t="s">
        <v>1171</v>
      </c>
      <c r="B13" s="9" t="s">
        <v>446</v>
      </c>
      <c r="C13" s="9" t="s">
        <v>25</v>
      </c>
      <c r="D13" s="9" t="s">
        <v>1172</v>
      </c>
      <c r="E13" s="9" t="s">
        <v>1173</v>
      </c>
    </row>
    <row r="14" spans="1:5" ht="27.9" customHeight="1" x14ac:dyDescent="0.3">
      <c r="A14" s="9" t="s">
        <v>1174</v>
      </c>
      <c r="B14" s="9" t="s">
        <v>17</v>
      </c>
      <c r="C14" s="9" t="s">
        <v>25</v>
      </c>
      <c r="D14" s="9" t="s">
        <v>1175</v>
      </c>
      <c r="E14" s="9" t="s">
        <v>1176</v>
      </c>
    </row>
    <row r="15" spans="1:5" ht="27.9" customHeight="1" x14ac:dyDescent="0.3">
      <c r="A15" s="9" t="s">
        <v>1177</v>
      </c>
      <c r="B15" s="9" t="s">
        <v>17</v>
      </c>
      <c r="C15" s="9" t="s">
        <v>25</v>
      </c>
      <c r="D15" s="9" t="s">
        <v>1178</v>
      </c>
      <c r="E15" s="9" t="s">
        <v>1179</v>
      </c>
    </row>
    <row r="16" spans="1:5" ht="27.9" customHeight="1" x14ac:dyDescent="0.3">
      <c r="A16" s="9" t="s">
        <v>1180</v>
      </c>
      <c r="B16" s="9" t="s">
        <v>456</v>
      </c>
      <c r="C16" s="9" t="s">
        <v>52</v>
      </c>
      <c r="D16" s="9" t="s">
        <v>1181</v>
      </c>
      <c r="E16" s="9" t="s">
        <v>1182</v>
      </c>
    </row>
    <row r="17" spans="1:5" ht="27.9" customHeight="1" x14ac:dyDescent="0.3">
      <c r="A17" s="9" t="s">
        <v>1183</v>
      </c>
      <c r="B17" s="9" t="s">
        <v>186</v>
      </c>
      <c r="C17" s="9" t="s">
        <v>421</v>
      </c>
      <c r="D17" s="9" t="s">
        <v>1184</v>
      </c>
      <c r="E17" s="9" t="s">
        <v>1185</v>
      </c>
    </row>
    <row r="18" spans="1:5" ht="27.9" customHeight="1" x14ac:dyDescent="0.3">
      <c r="A18" s="9" t="s">
        <v>1186</v>
      </c>
      <c r="B18" s="9" t="s">
        <v>17</v>
      </c>
      <c r="C18" s="9" t="s">
        <v>52</v>
      </c>
      <c r="D18" s="9" t="s">
        <v>1187</v>
      </c>
      <c r="E18" s="9" t="s">
        <v>1188</v>
      </c>
    </row>
    <row r="19" spans="1:5" ht="27.9" customHeight="1" x14ac:dyDescent="0.3">
      <c r="A19" s="9" t="s">
        <v>1189</v>
      </c>
      <c r="B19" s="9" t="s">
        <v>435</v>
      </c>
      <c r="C19" s="9" t="s">
        <v>52</v>
      </c>
      <c r="D19" s="9" t="s">
        <v>1190</v>
      </c>
      <c r="E19" s="9" t="s">
        <v>1191</v>
      </c>
    </row>
    <row r="20" spans="1:5" ht="27.9" customHeight="1" x14ac:dyDescent="0.3">
      <c r="A20" s="9" t="s">
        <v>1192</v>
      </c>
      <c r="B20" s="9" t="s">
        <v>191</v>
      </c>
      <c r="C20" s="9" t="s">
        <v>274</v>
      </c>
      <c r="D20" s="9" t="s">
        <v>1193</v>
      </c>
      <c r="E20" s="9" t="s">
        <v>1194</v>
      </c>
    </row>
    <row r="21" spans="1:5" ht="27.9" customHeight="1" x14ac:dyDescent="0.3">
      <c r="A21" s="9" t="s">
        <v>1195</v>
      </c>
      <c r="B21" s="9" t="s">
        <v>346</v>
      </c>
      <c r="C21" s="9" t="s">
        <v>421</v>
      </c>
      <c r="D21" s="9" t="s">
        <v>1196</v>
      </c>
      <c r="E21" s="9" t="s">
        <v>1197</v>
      </c>
    </row>
    <row r="22" spans="1:5" ht="27.9" customHeight="1" x14ac:dyDescent="0.3">
      <c r="A22" s="9" t="s">
        <v>1198</v>
      </c>
      <c r="B22" s="9" t="s">
        <v>1199</v>
      </c>
      <c r="C22" s="9" t="s">
        <v>1200</v>
      </c>
      <c r="D22" s="9" t="s">
        <v>1201</v>
      </c>
      <c r="E22" s="9" t="s">
        <v>1202</v>
      </c>
    </row>
    <row r="23" spans="1:5" ht="27.9" customHeight="1" x14ac:dyDescent="0.3">
      <c r="A23" s="9" t="s">
        <v>1203</v>
      </c>
      <c r="B23" s="9" t="s">
        <v>191</v>
      </c>
      <c r="C23" s="9" t="s">
        <v>421</v>
      </c>
      <c r="D23" s="9" t="s">
        <v>1204</v>
      </c>
      <c r="E23" s="9" t="s">
        <v>1205</v>
      </c>
    </row>
    <row r="24" spans="1:5" ht="27.9" customHeight="1" x14ac:dyDescent="0.3">
      <c r="A24" s="9" t="s">
        <v>1206</v>
      </c>
      <c r="B24" s="9" t="s">
        <v>186</v>
      </c>
      <c r="C24" s="9" t="s">
        <v>421</v>
      </c>
      <c r="D24" s="9" t="s">
        <v>1207</v>
      </c>
      <c r="E24" s="9" t="s">
        <v>1208</v>
      </c>
    </row>
    <row r="25" spans="1:5" ht="27.9" customHeight="1" x14ac:dyDescent="0.3">
      <c r="A25" s="9" t="s">
        <v>1209</v>
      </c>
      <c r="B25" s="9" t="s">
        <v>435</v>
      </c>
      <c r="C25" s="9" t="s">
        <v>421</v>
      </c>
      <c r="D25" s="9" t="s">
        <v>1210</v>
      </c>
      <c r="E25" s="9" t="s">
        <v>1211</v>
      </c>
    </row>
    <row r="26" spans="1:5" ht="27.9" customHeight="1" x14ac:dyDescent="0.3">
      <c r="A26" s="9" t="s">
        <v>1212</v>
      </c>
      <c r="B26" s="9" t="s">
        <v>346</v>
      </c>
      <c r="C26" s="9" t="s">
        <v>421</v>
      </c>
      <c r="D26" s="9" t="s">
        <v>1213</v>
      </c>
      <c r="E26" s="9" t="s">
        <v>1214</v>
      </c>
    </row>
    <row r="27" spans="1:5" ht="27.9" customHeight="1" x14ac:dyDescent="0.3">
      <c r="A27" s="9" t="s">
        <v>1215</v>
      </c>
      <c r="B27" s="9" t="s">
        <v>17</v>
      </c>
      <c r="C27" s="9" t="s">
        <v>421</v>
      </c>
      <c r="D27" s="9" t="s">
        <v>1216</v>
      </c>
      <c r="E27" s="9" t="s">
        <v>1217</v>
      </c>
    </row>
    <row r="28" spans="1:5" ht="27.9" customHeight="1" x14ac:dyDescent="0.3">
      <c r="A28" s="9" t="s">
        <v>1218</v>
      </c>
      <c r="B28" s="9" t="s">
        <v>17</v>
      </c>
      <c r="C28" s="9" t="s">
        <v>421</v>
      </c>
      <c r="D28" s="9" t="s">
        <v>1219</v>
      </c>
      <c r="E28" s="9" t="s">
        <v>1220</v>
      </c>
    </row>
    <row r="29" spans="1:5" ht="27.9" customHeight="1" x14ac:dyDescent="0.3">
      <c r="A29" s="9" t="s">
        <v>1221</v>
      </c>
      <c r="B29" s="9" t="s">
        <v>17</v>
      </c>
      <c r="C29" s="9" t="s">
        <v>421</v>
      </c>
      <c r="D29" s="9" t="s">
        <v>1222</v>
      </c>
      <c r="E29" s="9" t="s">
        <v>1223</v>
      </c>
    </row>
    <row r="30" spans="1:5" ht="27.9" customHeight="1" x14ac:dyDescent="0.3">
      <c r="A30" s="9" t="s">
        <v>1224</v>
      </c>
      <c r="B30" s="9" t="s">
        <v>186</v>
      </c>
      <c r="C30" s="9" t="s">
        <v>1225</v>
      </c>
      <c r="D30" s="9" t="s">
        <v>1226</v>
      </c>
      <c r="E30" s="9" t="s">
        <v>1227</v>
      </c>
    </row>
    <row r="31" spans="1:5" ht="27.9" customHeight="1" x14ac:dyDescent="0.3">
      <c r="A31" s="9" t="s">
        <v>1228</v>
      </c>
      <c r="B31" s="9" t="s">
        <v>186</v>
      </c>
      <c r="C31" s="9" t="s">
        <v>1229</v>
      </c>
      <c r="D31" s="9" t="s">
        <v>1230</v>
      </c>
      <c r="E31" s="9" t="s">
        <v>1231</v>
      </c>
    </row>
    <row r="32" spans="1:5" ht="27.9" customHeight="1" x14ac:dyDescent="0.3">
      <c r="A32" s="9" t="s">
        <v>1232</v>
      </c>
      <c r="B32" s="9" t="s">
        <v>346</v>
      </c>
      <c r="C32" s="9" t="s">
        <v>1233</v>
      </c>
      <c r="D32" s="9" t="s">
        <v>1234</v>
      </c>
      <c r="E32" s="9" t="s">
        <v>1235</v>
      </c>
    </row>
    <row r="33" spans="1:5" ht="27.9" customHeight="1" x14ac:dyDescent="0.3">
      <c r="A33" s="9" t="s">
        <v>1236</v>
      </c>
      <c r="B33" s="9" t="s">
        <v>17</v>
      </c>
      <c r="C33" s="9" t="s">
        <v>274</v>
      </c>
      <c r="D33" s="9" t="s">
        <v>1237</v>
      </c>
      <c r="E33" s="9" t="s">
        <v>1238</v>
      </c>
    </row>
    <row r="34" spans="1:5" ht="27.9" customHeight="1" x14ac:dyDescent="0.3">
      <c r="A34" s="9" t="s">
        <v>1239</v>
      </c>
      <c r="B34" s="9" t="s">
        <v>186</v>
      </c>
      <c r="C34" s="9" t="s">
        <v>1240</v>
      </c>
      <c r="D34" s="9" t="s">
        <v>1241</v>
      </c>
      <c r="E34" s="9" t="s">
        <v>1242</v>
      </c>
    </row>
    <row r="35" spans="1:5" ht="27.9" customHeight="1" x14ac:dyDescent="0.3">
      <c r="A35" s="9" t="s">
        <v>1243</v>
      </c>
      <c r="B35" s="9" t="s">
        <v>346</v>
      </c>
      <c r="C35" s="9" t="s">
        <v>1240</v>
      </c>
      <c r="D35" s="9" t="s">
        <v>1244</v>
      </c>
      <c r="E35" s="9" t="s">
        <v>1242</v>
      </c>
    </row>
    <row r="36" spans="1:5" ht="27.9" customHeight="1" x14ac:dyDescent="0.3">
      <c r="A36" s="9" t="s">
        <v>1245</v>
      </c>
      <c r="B36" s="9" t="s">
        <v>191</v>
      </c>
      <c r="C36" s="9" t="s">
        <v>274</v>
      </c>
      <c r="D36" s="9" t="s">
        <v>1246</v>
      </c>
      <c r="E36" s="9" t="s">
        <v>1247</v>
      </c>
    </row>
    <row r="37" spans="1:5" ht="27.9" customHeight="1" x14ac:dyDescent="0.3">
      <c r="A37" s="9" t="s">
        <v>1248</v>
      </c>
      <c r="B37" s="9" t="s">
        <v>191</v>
      </c>
      <c r="C37" s="9" t="s">
        <v>350</v>
      </c>
      <c r="D37" s="9" t="s">
        <v>1249</v>
      </c>
      <c r="E37" s="9" t="s">
        <v>1250</v>
      </c>
    </row>
    <row r="38" spans="1:5" ht="27.9" customHeight="1" x14ac:dyDescent="0.3">
      <c r="A38" s="9" t="s">
        <v>1251</v>
      </c>
      <c r="B38" s="9" t="s">
        <v>191</v>
      </c>
      <c r="C38" s="9" t="s">
        <v>350</v>
      </c>
      <c r="D38" s="9" t="s">
        <v>1252</v>
      </c>
      <c r="E38" s="9" t="s">
        <v>1253</v>
      </c>
    </row>
    <row r="39" spans="1:5" ht="27.9" customHeight="1" x14ac:dyDescent="0.3">
      <c r="A39" s="9" t="s">
        <v>1254</v>
      </c>
      <c r="B39" s="9" t="s">
        <v>191</v>
      </c>
      <c r="C39" s="9" t="s">
        <v>25</v>
      </c>
      <c r="D39" s="9" t="s">
        <v>1255</v>
      </c>
      <c r="E39" s="9" t="s">
        <v>1256</v>
      </c>
    </row>
    <row r="40" spans="1:5" ht="27.9" customHeight="1" x14ac:dyDescent="0.3">
      <c r="A40" s="9" t="s">
        <v>1257</v>
      </c>
      <c r="B40" s="9" t="s">
        <v>191</v>
      </c>
      <c r="C40" s="9" t="s">
        <v>274</v>
      </c>
      <c r="D40" s="9" t="s">
        <v>1258</v>
      </c>
      <c r="E40" s="9" t="s">
        <v>1259</v>
      </c>
    </row>
    <row r="41" spans="1:5" ht="27.9" customHeight="1" x14ac:dyDescent="0.3">
      <c r="A41" s="9" t="s">
        <v>1260</v>
      </c>
      <c r="B41" s="9" t="s">
        <v>191</v>
      </c>
      <c r="C41" s="9" t="s">
        <v>25</v>
      </c>
      <c r="D41" s="9" t="s">
        <v>1261</v>
      </c>
      <c r="E41" s="9" t="s">
        <v>1262</v>
      </c>
    </row>
    <row r="42" spans="1:5" ht="27.9" customHeight="1" x14ac:dyDescent="0.3">
      <c r="A42" s="9" t="s">
        <v>1263</v>
      </c>
      <c r="B42" s="9" t="s">
        <v>191</v>
      </c>
      <c r="C42" s="9" t="s">
        <v>274</v>
      </c>
      <c r="D42" s="9" t="s">
        <v>1264</v>
      </c>
      <c r="E42" s="9" t="s">
        <v>1265</v>
      </c>
    </row>
    <row r="43" spans="1:5" ht="27.9" customHeight="1" x14ac:dyDescent="0.3">
      <c r="A43" s="9" t="s">
        <v>1266</v>
      </c>
      <c r="B43" s="9" t="s">
        <v>191</v>
      </c>
      <c r="C43" s="9" t="s">
        <v>274</v>
      </c>
      <c r="D43" s="9" t="s">
        <v>1267</v>
      </c>
      <c r="E43" s="9" t="s">
        <v>1268</v>
      </c>
    </row>
    <row r="44" spans="1:5" ht="27.9" customHeight="1" x14ac:dyDescent="0.3">
      <c r="A44" s="9" t="s">
        <v>1269</v>
      </c>
      <c r="B44" s="9" t="s">
        <v>191</v>
      </c>
      <c r="C44" s="9" t="s">
        <v>274</v>
      </c>
      <c r="D44" s="9" t="s">
        <v>1270</v>
      </c>
      <c r="E44" s="9" t="s">
        <v>1271</v>
      </c>
    </row>
    <row r="45" spans="1:5" ht="27.9" customHeight="1" x14ac:dyDescent="0.3">
      <c r="A45" s="9" t="s">
        <v>1272</v>
      </c>
      <c r="B45" s="9" t="s">
        <v>435</v>
      </c>
      <c r="C45" s="9" t="s">
        <v>274</v>
      </c>
      <c r="D45" s="9" t="s">
        <v>1273</v>
      </c>
      <c r="E45" s="9" t="s">
        <v>1274</v>
      </c>
    </row>
    <row r="46" spans="1:5" ht="27.9" customHeight="1" x14ac:dyDescent="0.3">
      <c r="A46" s="9" t="s">
        <v>1275</v>
      </c>
      <c r="B46" s="9" t="s">
        <v>435</v>
      </c>
      <c r="C46" s="9" t="s">
        <v>274</v>
      </c>
      <c r="D46" s="9" t="s">
        <v>1276</v>
      </c>
      <c r="E46" s="9" t="s">
        <v>1277</v>
      </c>
    </row>
    <row r="47" spans="1:5" ht="27.9" customHeight="1" x14ac:dyDescent="0.3">
      <c r="A47" s="9" t="s">
        <v>1278</v>
      </c>
      <c r="B47" s="9" t="s">
        <v>435</v>
      </c>
      <c r="C47" s="9" t="s">
        <v>25</v>
      </c>
      <c r="D47" s="9" t="s">
        <v>1279</v>
      </c>
      <c r="E47" s="9" t="s">
        <v>1162</v>
      </c>
    </row>
    <row r="48" spans="1:5" ht="45" customHeight="1" x14ac:dyDescent="0.3">
      <c r="A48" s="9" t="s">
        <v>1280</v>
      </c>
      <c r="B48" s="9" t="s">
        <v>200</v>
      </c>
      <c r="C48" s="9" t="s">
        <v>1281</v>
      </c>
      <c r="D48" s="9" t="s">
        <v>1282</v>
      </c>
      <c r="E48" s="9" t="s">
        <v>1283</v>
      </c>
    </row>
    <row r="49" spans="1:5" ht="75" customHeight="1" x14ac:dyDescent="0.3">
      <c r="A49" s="9" t="s">
        <v>1284</v>
      </c>
      <c r="B49" s="9" t="s">
        <v>346</v>
      </c>
      <c r="C49" s="9" t="s">
        <v>1285</v>
      </c>
      <c r="D49" s="9" t="s">
        <v>1286</v>
      </c>
      <c r="E49" s="9" t="s">
        <v>1287</v>
      </c>
    </row>
    <row r="50" spans="1:5" ht="57.6" x14ac:dyDescent="0.3">
      <c r="A50" s="9" t="s">
        <v>1288</v>
      </c>
      <c r="B50" s="9" t="s">
        <v>1289</v>
      </c>
      <c r="C50" s="9" t="s">
        <v>1290</v>
      </c>
      <c r="D50" s="9" t="s">
        <v>1291</v>
      </c>
      <c r="E50" s="9" t="s">
        <v>1292</v>
      </c>
    </row>
  </sheetData>
  <autoFilter ref="A1:E47" xr:uid="{00000000-0009-0000-0000-000008000000}"/>
  <mergeCells count="1">
    <mergeCell ref="A1:E1"/>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20"/>
  <sheetViews>
    <sheetView workbookViewId="0">
      <pane ySplit="3" topLeftCell="A4" activePane="bottomLeft" state="frozen"/>
      <selection pane="bottomLeft" activeCell="C3" sqref="C3"/>
    </sheetView>
  </sheetViews>
  <sheetFormatPr baseColWidth="10" defaultColWidth="9.109375" defaultRowHeight="14.4" x14ac:dyDescent="0.3"/>
  <cols>
    <col min="1" max="1" width="16" customWidth="1"/>
    <col min="2" max="2" width="34" customWidth="1"/>
    <col min="3" max="3" width="42" customWidth="1"/>
    <col min="4" max="4" width="22" customWidth="1"/>
    <col min="5" max="5" width="26" customWidth="1"/>
    <col min="6" max="6" width="52" customWidth="1"/>
    <col min="7" max="7" width="36" customWidth="1"/>
    <col min="8" max="8" width="38" customWidth="1"/>
    <col min="9" max="9" width="24" customWidth="1"/>
  </cols>
  <sheetData>
    <row r="1" spans="1:9" ht="24" customHeight="1" x14ac:dyDescent="0.3">
      <c r="A1" s="21" t="s">
        <v>1293</v>
      </c>
      <c r="B1" s="22"/>
      <c r="C1" s="22"/>
      <c r="D1" s="22"/>
      <c r="E1" s="22"/>
      <c r="F1" s="22"/>
      <c r="G1" s="22"/>
      <c r="H1" s="22"/>
      <c r="I1" s="23"/>
    </row>
    <row r="2" spans="1:9" ht="27.9" customHeight="1" x14ac:dyDescent="0.3"/>
    <row r="3" spans="1:9" ht="27.9" customHeight="1" x14ac:dyDescent="0.3">
      <c r="A3" s="20" t="s">
        <v>1294</v>
      </c>
      <c r="B3" s="1"/>
      <c r="C3" s="1"/>
      <c r="D3" s="1"/>
      <c r="E3" s="1"/>
      <c r="F3" s="1"/>
      <c r="G3" s="1"/>
      <c r="H3" s="1"/>
      <c r="I3" s="1"/>
    </row>
    <row r="4" spans="1:9" ht="27.9" customHeight="1" x14ac:dyDescent="0.3">
      <c r="A4" s="13" t="s">
        <v>1295</v>
      </c>
      <c r="B4" s="13" t="s">
        <v>1296</v>
      </c>
      <c r="C4" s="13" t="s">
        <v>1297</v>
      </c>
      <c r="D4" s="13" t="s">
        <v>1298</v>
      </c>
      <c r="E4" s="13" t="s">
        <v>11</v>
      </c>
      <c r="F4" s="13" t="s">
        <v>1299</v>
      </c>
      <c r="G4" s="13" t="s">
        <v>9</v>
      </c>
      <c r="H4" s="13" t="s">
        <v>1300</v>
      </c>
      <c r="I4" s="13" t="s">
        <v>1301</v>
      </c>
    </row>
    <row r="5" spans="1:9" ht="27.9" customHeight="1" x14ac:dyDescent="0.3">
      <c r="A5" s="9" t="s">
        <v>603</v>
      </c>
      <c r="B5" s="9" t="s">
        <v>1302</v>
      </c>
      <c r="C5" s="9" t="s">
        <v>1303</v>
      </c>
      <c r="D5" s="9" t="s">
        <v>1304</v>
      </c>
      <c r="E5" s="4" t="s">
        <v>609</v>
      </c>
      <c r="F5" s="9" t="s">
        <v>1305</v>
      </c>
      <c r="G5" s="9" t="s">
        <v>38</v>
      </c>
      <c r="H5" s="9" t="s">
        <v>1306</v>
      </c>
      <c r="I5" s="9" t="s">
        <v>274</v>
      </c>
    </row>
    <row r="6" spans="1:9" ht="27.9" customHeight="1" x14ac:dyDescent="0.3">
      <c r="A6" s="9" t="s">
        <v>611</v>
      </c>
      <c r="B6" s="9" t="s">
        <v>1307</v>
      </c>
      <c r="C6" s="9" t="s">
        <v>1308</v>
      </c>
      <c r="D6" s="9" t="s">
        <v>1304</v>
      </c>
      <c r="E6" s="10" t="s">
        <v>617</v>
      </c>
      <c r="F6" s="9" t="s">
        <v>1309</v>
      </c>
      <c r="G6" s="9" t="s">
        <v>1310</v>
      </c>
      <c r="H6" s="9" t="s">
        <v>1311</v>
      </c>
      <c r="I6" s="9" t="s">
        <v>274</v>
      </c>
    </row>
    <row r="7" spans="1:9" ht="27.9" customHeight="1" x14ac:dyDescent="0.3">
      <c r="A7" s="9" t="s">
        <v>619</v>
      </c>
      <c r="B7" s="9" t="s">
        <v>1312</v>
      </c>
      <c r="C7" s="9" t="s">
        <v>95</v>
      </c>
      <c r="D7" s="9" t="s">
        <v>18</v>
      </c>
      <c r="E7" s="4" t="s">
        <v>609</v>
      </c>
      <c r="F7" s="9" t="s">
        <v>1313</v>
      </c>
      <c r="G7" s="9" t="s">
        <v>1314</v>
      </c>
      <c r="H7" s="9" t="s">
        <v>1306</v>
      </c>
      <c r="I7" s="9" t="s">
        <v>274</v>
      </c>
    </row>
    <row r="8" spans="1:9" ht="27.9" customHeight="1" x14ac:dyDescent="0.3">
      <c r="A8" s="9" t="s">
        <v>624</v>
      </c>
      <c r="B8" s="9" t="s">
        <v>1315</v>
      </c>
      <c r="C8" s="9" t="s">
        <v>1316</v>
      </c>
      <c r="D8" s="9" t="s">
        <v>18</v>
      </c>
      <c r="E8" s="4" t="s">
        <v>609</v>
      </c>
      <c r="F8" s="9" t="s">
        <v>1317</v>
      </c>
      <c r="G8" s="9" t="s">
        <v>1318</v>
      </c>
      <c r="H8" s="9" t="s">
        <v>1306</v>
      </c>
      <c r="I8" s="9" t="s">
        <v>274</v>
      </c>
    </row>
    <row r="9" spans="1:9" ht="27.9" customHeight="1" x14ac:dyDescent="0.3">
      <c r="A9" s="9" t="s">
        <v>629</v>
      </c>
      <c r="B9" s="9" t="s">
        <v>1319</v>
      </c>
      <c r="C9" s="9" t="s">
        <v>1320</v>
      </c>
      <c r="D9" s="9" t="s">
        <v>18</v>
      </c>
      <c r="E9" s="10" t="s">
        <v>617</v>
      </c>
      <c r="F9" s="9" t="s">
        <v>1321</v>
      </c>
      <c r="G9" s="9" t="s">
        <v>1322</v>
      </c>
      <c r="H9" s="9" t="s">
        <v>1311</v>
      </c>
      <c r="I9" s="9" t="s">
        <v>274</v>
      </c>
    </row>
    <row r="10" spans="1:9" ht="27.9" customHeight="1" x14ac:dyDescent="0.3">
      <c r="A10" s="9" t="s">
        <v>634</v>
      </c>
      <c r="B10" s="9" t="s">
        <v>1323</v>
      </c>
      <c r="C10" s="9" t="s">
        <v>1324</v>
      </c>
      <c r="D10" s="9" t="s">
        <v>1325</v>
      </c>
      <c r="E10" s="10" t="s">
        <v>617</v>
      </c>
      <c r="F10" s="9" t="s">
        <v>1326</v>
      </c>
      <c r="G10" s="9" t="s">
        <v>1327</v>
      </c>
      <c r="H10" s="9" t="s">
        <v>1311</v>
      </c>
      <c r="I10" s="9" t="s">
        <v>274</v>
      </c>
    </row>
    <row r="11" spans="1:9" ht="27.9" customHeight="1" x14ac:dyDescent="0.3">
      <c r="A11" s="9" t="s">
        <v>640</v>
      </c>
      <c r="B11" s="9" t="s">
        <v>1328</v>
      </c>
      <c r="C11" s="9" t="s">
        <v>1329</v>
      </c>
      <c r="D11" s="9" t="s">
        <v>1304</v>
      </c>
      <c r="E11" s="4" t="s">
        <v>609</v>
      </c>
      <c r="F11" s="9" t="s">
        <v>1330</v>
      </c>
      <c r="G11" s="9" t="s">
        <v>1331</v>
      </c>
      <c r="H11" s="9" t="s">
        <v>1306</v>
      </c>
      <c r="I11" s="9" t="s">
        <v>274</v>
      </c>
    </row>
    <row r="12" spans="1:9" ht="27.9" customHeight="1" x14ac:dyDescent="0.3">
      <c r="A12" s="9" t="s">
        <v>647</v>
      </c>
      <c r="B12" s="9" t="s">
        <v>1332</v>
      </c>
      <c r="C12" s="9" t="s">
        <v>1333</v>
      </c>
      <c r="D12" s="9" t="s">
        <v>1334</v>
      </c>
      <c r="E12" s="4" t="s">
        <v>609</v>
      </c>
      <c r="F12" s="9" t="s">
        <v>1335</v>
      </c>
      <c r="G12" s="9" t="s">
        <v>1336</v>
      </c>
      <c r="H12" s="9" t="s">
        <v>1306</v>
      </c>
      <c r="I12" s="9" t="s">
        <v>274</v>
      </c>
    </row>
    <row r="13" spans="1:9" ht="27.9" customHeight="1" x14ac:dyDescent="0.3">
      <c r="A13" s="9" t="s">
        <v>653</v>
      </c>
      <c r="B13" s="9" t="s">
        <v>1337</v>
      </c>
      <c r="C13" s="9" t="s">
        <v>1338</v>
      </c>
      <c r="D13" s="9" t="s">
        <v>18</v>
      </c>
      <c r="E13" s="4" t="s">
        <v>609</v>
      </c>
      <c r="F13" s="9" t="s">
        <v>1339</v>
      </c>
      <c r="G13" s="9" t="s">
        <v>1340</v>
      </c>
      <c r="H13" s="9" t="s">
        <v>1306</v>
      </c>
      <c r="I13" s="9" t="s">
        <v>274</v>
      </c>
    </row>
    <row r="14" spans="1:9" ht="27.9" customHeight="1" x14ac:dyDescent="0.3">
      <c r="A14" s="9" t="s">
        <v>659</v>
      </c>
      <c r="B14" s="9" t="s">
        <v>1341</v>
      </c>
      <c r="C14" s="9" t="s">
        <v>1342</v>
      </c>
      <c r="D14" s="9" t="s">
        <v>1304</v>
      </c>
      <c r="E14" s="10" t="s">
        <v>617</v>
      </c>
      <c r="F14" s="9" t="s">
        <v>1343</v>
      </c>
      <c r="G14" s="9" t="s">
        <v>1344</v>
      </c>
      <c r="H14" s="9" t="s">
        <v>1345</v>
      </c>
      <c r="I14" s="9" t="s">
        <v>274</v>
      </c>
    </row>
    <row r="15" spans="1:9" ht="27.9" customHeight="1" x14ac:dyDescent="0.3">
      <c r="A15" s="9" t="s">
        <v>665</v>
      </c>
      <c r="B15" s="9" t="s">
        <v>1346</v>
      </c>
      <c r="C15" s="9" t="s">
        <v>1347</v>
      </c>
      <c r="D15" s="9" t="s">
        <v>1304</v>
      </c>
      <c r="E15" s="10" t="s">
        <v>617</v>
      </c>
      <c r="F15" s="9" t="s">
        <v>1348</v>
      </c>
      <c r="G15" s="9" t="s">
        <v>1349</v>
      </c>
      <c r="H15" s="9" t="s">
        <v>1311</v>
      </c>
      <c r="I15" s="9" t="s">
        <v>274</v>
      </c>
    </row>
    <row r="16" spans="1:9" ht="27.9" customHeight="1" x14ac:dyDescent="0.3">
      <c r="A16" s="9" t="s">
        <v>671</v>
      </c>
      <c r="B16" s="9" t="s">
        <v>1350</v>
      </c>
      <c r="C16" s="9" t="s">
        <v>1351</v>
      </c>
      <c r="D16" s="9" t="s">
        <v>1304</v>
      </c>
      <c r="E16" s="4" t="s">
        <v>609</v>
      </c>
      <c r="F16" s="9" t="s">
        <v>1352</v>
      </c>
      <c r="G16" s="9" t="s">
        <v>1353</v>
      </c>
      <c r="H16" s="9" t="s">
        <v>1306</v>
      </c>
      <c r="I16" s="9" t="s">
        <v>274</v>
      </c>
    </row>
    <row r="17" spans="1:9" ht="27.9" customHeight="1" x14ac:dyDescent="0.3">
      <c r="A17" s="9" t="s">
        <v>677</v>
      </c>
      <c r="B17" s="9" t="s">
        <v>1354</v>
      </c>
      <c r="C17" s="9" t="s">
        <v>1355</v>
      </c>
      <c r="D17" s="9" t="s">
        <v>1356</v>
      </c>
      <c r="E17" s="11" t="s">
        <v>683</v>
      </c>
      <c r="F17" s="9" t="s">
        <v>1357</v>
      </c>
      <c r="G17" s="9" t="s">
        <v>1358</v>
      </c>
      <c r="H17" s="9" t="s">
        <v>1311</v>
      </c>
      <c r="I17" s="9" t="s">
        <v>274</v>
      </c>
    </row>
    <row r="18" spans="1:9" ht="27.9" customHeight="1" x14ac:dyDescent="0.3">
      <c r="A18" s="9" t="s">
        <v>685</v>
      </c>
      <c r="B18" s="9" t="s">
        <v>1359</v>
      </c>
      <c r="C18" s="9" t="s">
        <v>1324</v>
      </c>
      <c r="D18" s="9" t="s">
        <v>1360</v>
      </c>
      <c r="E18" s="10" t="s">
        <v>617</v>
      </c>
      <c r="F18" s="9" t="s">
        <v>1361</v>
      </c>
      <c r="G18" s="9" t="s">
        <v>1362</v>
      </c>
      <c r="H18" s="9" t="s">
        <v>1311</v>
      </c>
      <c r="I18" s="9" t="s">
        <v>274</v>
      </c>
    </row>
    <row r="19" spans="1:9" ht="27.9" customHeight="1" x14ac:dyDescent="0.3">
      <c r="A19" s="9" t="s">
        <v>691</v>
      </c>
      <c r="B19" s="9" t="s">
        <v>1363</v>
      </c>
      <c r="C19" s="9" t="s">
        <v>1364</v>
      </c>
      <c r="D19" s="9" t="s">
        <v>1365</v>
      </c>
      <c r="E19" s="4" t="s">
        <v>609</v>
      </c>
      <c r="F19" s="9" t="s">
        <v>1366</v>
      </c>
      <c r="G19" s="9" t="s">
        <v>1367</v>
      </c>
      <c r="H19" s="9" t="s">
        <v>1306</v>
      </c>
      <c r="I19" s="9" t="s">
        <v>274</v>
      </c>
    </row>
    <row r="20" spans="1:9" ht="27.9" customHeight="1" x14ac:dyDescent="0.3">
      <c r="A20" s="9" t="s">
        <v>698</v>
      </c>
      <c r="B20" s="9" t="s">
        <v>1368</v>
      </c>
      <c r="C20" s="9" t="s">
        <v>1369</v>
      </c>
      <c r="D20" s="9" t="s">
        <v>1370</v>
      </c>
      <c r="E20" s="11" t="s">
        <v>1371</v>
      </c>
      <c r="F20" s="9" t="s">
        <v>1372</v>
      </c>
      <c r="G20" s="9" t="s">
        <v>1373</v>
      </c>
      <c r="H20" s="9" t="s">
        <v>1374</v>
      </c>
      <c r="I20" s="9" t="s">
        <v>274</v>
      </c>
    </row>
  </sheetData>
  <autoFilter ref="A1:I20" xr:uid="{00000000-0009-0000-0000-000009000000}"/>
  <mergeCells count="1">
    <mergeCell ref="A1:I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8"/>
  <sheetViews>
    <sheetView workbookViewId="0">
      <pane ySplit="3" topLeftCell="A4" activePane="bottomLeft" state="frozen"/>
      <selection pane="bottomLeft" activeCell="D3" sqref="D3"/>
    </sheetView>
  </sheetViews>
  <sheetFormatPr baseColWidth="10" defaultColWidth="9.109375" defaultRowHeight="14.4" x14ac:dyDescent="0.3"/>
  <cols>
    <col min="1" max="1" width="14" customWidth="1"/>
    <col min="2" max="2" width="24" customWidth="1"/>
    <col min="3" max="4" width="38" customWidth="1"/>
    <col min="5" max="5" width="52" customWidth="1"/>
    <col min="6" max="6" width="22" customWidth="1"/>
    <col min="7" max="7" width="44" customWidth="1"/>
    <col min="8" max="9" width="42" customWidth="1"/>
    <col min="10" max="10" width="44" customWidth="1"/>
  </cols>
  <sheetData>
    <row r="1" spans="1:10" ht="24" customHeight="1" x14ac:dyDescent="0.3">
      <c r="A1" s="21" t="s">
        <v>1375</v>
      </c>
      <c r="B1" s="22"/>
      <c r="C1" s="22"/>
      <c r="D1" s="22"/>
      <c r="E1" s="22"/>
      <c r="F1" s="22"/>
      <c r="G1" s="22"/>
      <c r="H1" s="22"/>
      <c r="I1" s="22"/>
      <c r="J1" s="23"/>
    </row>
    <row r="2" spans="1:10" ht="27.9" customHeight="1" x14ac:dyDescent="0.3"/>
    <row r="3" spans="1:10" ht="27.9" customHeight="1" x14ac:dyDescent="0.3">
      <c r="A3" s="20" t="s">
        <v>1376</v>
      </c>
      <c r="B3" s="1"/>
      <c r="C3" s="1"/>
      <c r="D3" s="1"/>
      <c r="E3" s="1"/>
      <c r="F3" s="1"/>
      <c r="G3" s="1"/>
      <c r="H3" s="1"/>
      <c r="I3" s="1"/>
      <c r="J3" s="1"/>
    </row>
    <row r="4" spans="1:10" ht="27.9" customHeight="1" x14ac:dyDescent="0.3">
      <c r="A4" s="13" t="s">
        <v>2</v>
      </c>
      <c r="B4" s="13" t="s">
        <v>1377</v>
      </c>
      <c r="C4" s="13" t="s">
        <v>171</v>
      </c>
      <c r="D4" s="13" t="s">
        <v>1378</v>
      </c>
      <c r="E4" s="13" t="s">
        <v>1379</v>
      </c>
      <c r="F4" s="13" t="s">
        <v>11</v>
      </c>
      <c r="G4" s="13" t="s">
        <v>1380</v>
      </c>
      <c r="H4" s="13" t="s">
        <v>1381</v>
      </c>
      <c r="I4" s="13" t="s">
        <v>265</v>
      </c>
      <c r="J4" s="13" t="s">
        <v>1382</v>
      </c>
    </row>
    <row r="5" spans="1:10" ht="27.9" customHeight="1" x14ac:dyDescent="0.3">
      <c r="A5" s="9" t="s">
        <v>1383</v>
      </c>
      <c r="B5" s="9" t="s">
        <v>1384</v>
      </c>
      <c r="C5" s="9" t="s">
        <v>1385</v>
      </c>
      <c r="D5" s="9" t="s">
        <v>1386</v>
      </c>
      <c r="E5" s="9" t="s">
        <v>1387</v>
      </c>
      <c r="F5" s="4" t="s">
        <v>1388</v>
      </c>
      <c r="G5" s="9" t="s">
        <v>1389</v>
      </c>
      <c r="H5" s="9" t="s">
        <v>1390</v>
      </c>
      <c r="I5" s="9" t="s">
        <v>1391</v>
      </c>
      <c r="J5" s="9" t="s">
        <v>1392</v>
      </c>
    </row>
    <row r="6" spans="1:10" ht="27.9" customHeight="1" x14ac:dyDescent="0.3">
      <c r="A6" s="9" t="s">
        <v>1393</v>
      </c>
      <c r="B6" s="9" t="s">
        <v>1394</v>
      </c>
      <c r="C6" s="9" t="s">
        <v>1395</v>
      </c>
      <c r="D6" s="9" t="s">
        <v>1396</v>
      </c>
      <c r="E6" s="9" t="s">
        <v>1397</v>
      </c>
      <c r="F6" s="5" t="s">
        <v>1398</v>
      </c>
      <c r="G6" s="9" t="s">
        <v>1399</v>
      </c>
      <c r="H6" s="9" t="s">
        <v>1400</v>
      </c>
      <c r="I6" s="9" t="s">
        <v>1401</v>
      </c>
      <c r="J6" s="9" t="s">
        <v>1402</v>
      </c>
    </row>
    <row r="7" spans="1:10" ht="27.9" customHeight="1" x14ac:dyDescent="0.3">
      <c r="A7" s="9" t="s">
        <v>1403</v>
      </c>
      <c r="B7" s="9" t="s">
        <v>1404</v>
      </c>
      <c r="C7" s="9" t="s">
        <v>1405</v>
      </c>
      <c r="D7" s="9" t="s">
        <v>1406</v>
      </c>
      <c r="E7" s="9" t="s">
        <v>1407</v>
      </c>
      <c r="F7" s="5" t="s">
        <v>1408</v>
      </c>
      <c r="G7" s="9" t="s">
        <v>1409</v>
      </c>
      <c r="H7" s="9" t="s">
        <v>52</v>
      </c>
      <c r="I7" s="9" t="s">
        <v>1410</v>
      </c>
      <c r="J7" s="9" t="s">
        <v>1411</v>
      </c>
    </row>
    <row r="8" spans="1:10" ht="27.9" customHeight="1" x14ac:dyDescent="0.3">
      <c r="A8" s="9" t="s">
        <v>1412</v>
      </c>
      <c r="B8" s="9" t="s">
        <v>1413</v>
      </c>
      <c r="C8" s="9" t="s">
        <v>1414</v>
      </c>
      <c r="D8" s="9" t="s">
        <v>1415</v>
      </c>
      <c r="E8" s="9" t="s">
        <v>1416</v>
      </c>
      <c r="F8" s="4" t="s">
        <v>1417</v>
      </c>
      <c r="G8" s="9" t="s">
        <v>1418</v>
      </c>
      <c r="H8" s="9" t="s">
        <v>52</v>
      </c>
      <c r="I8" s="9" t="s">
        <v>1419</v>
      </c>
      <c r="J8" s="9" t="s">
        <v>1420</v>
      </c>
    </row>
    <row r="9" spans="1:10" ht="27.9" customHeight="1" x14ac:dyDescent="0.3">
      <c r="A9" s="9" t="s">
        <v>1421</v>
      </c>
      <c r="B9" s="9" t="s">
        <v>1422</v>
      </c>
      <c r="C9" s="9" t="s">
        <v>1423</v>
      </c>
      <c r="D9" s="9" t="s">
        <v>1424</v>
      </c>
      <c r="E9" s="9" t="s">
        <v>1425</v>
      </c>
      <c r="F9" s="5" t="s">
        <v>1426</v>
      </c>
      <c r="G9" s="9" t="s">
        <v>1427</v>
      </c>
      <c r="H9" s="9" t="s">
        <v>1428</v>
      </c>
      <c r="I9" s="9" t="s">
        <v>1429</v>
      </c>
      <c r="J9" s="9" t="s">
        <v>1430</v>
      </c>
    </row>
    <row r="10" spans="1:10" ht="27.9" customHeight="1" x14ac:dyDescent="0.3">
      <c r="A10" s="9" t="s">
        <v>1431</v>
      </c>
      <c r="B10" s="9" t="s">
        <v>1432</v>
      </c>
      <c r="C10" s="9" t="s">
        <v>1433</v>
      </c>
      <c r="D10" s="9" t="s">
        <v>1434</v>
      </c>
      <c r="E10" s="9" t="s">
        <v>1435</v>
      </c>
      <c r="F10" s="5" t="s">
        <v>1436</v>
      </c>
      <c r="G10" s="9" t="s">
        <v>1437</v>
      </c>
      <c r="H10" s="9" t="s">
        <v>1438</v>
      </c>
      <c r="I10" s="9" t="s">
        <v>1439</v>
      </c>
      <c r="J10" s="9" t="s">
        <v>1440</v>
      </c>
    </row>
    <row r="11" spans="1:10" ht="27.9" customHeight="1" x14ac:dyDescent="0.3">
      <c r="A11" s="9" t="s">
        <v>1441</v>
      </c>
      <c r="B11" s="9" t="s">
        <v>1442</v>
      </c>
      <c r="C11" s="9" t="s">
        <v>1443</v>
      </c>
      <c r="D11" s="9" t="s">
        <v>1444</v>
      </c>
      <c r="E11" s="9" t="s">
        <v>1445</v>
      </c>
      <c r="F11" s="5" t="s">
        <v>1446</v>
      </c>
      <c r="G11" s="9" t="s">
        <v>1447</v>
      </c>
      <c r="H11" s="9" t="s">
        <v>1448</v>
      </c>
      <c r="I11" s="9" t="s">
        <v>1449</v>
      </c>
      <c r="J11" s="9" t="s">
        <v>1450</v>
      </c>
    </row>
    <row r="12" spans="1:10" ht="27.9" customHeight="1" x14ac:dyDescent="0.3">
      <c r="A12" s="9" t="s">
        <v>1451</v>
      </c>
      <c r="B12" s="9" t="s">
        <v>1452</v>
      </c>
      <c r="C12" s="9" t="s">
        <v>1453</v>
      </c>
      <c r="D12" s="9" t="s">
        <v>1454</v>
      </c>
      <c r="E12" s="9" t="s">
        <v>1455</v>
      </c>
      <c r="F12" s="4" t="s">
        <v>193</v>
      </c>
      <c r="G12" s="9" t="s">
        <v>1456</v>
      </c>
      <c r="H12" s="9" t="s">
        <v>52</v>
      </c>
      <c r="I12" s="9" t="s">
        <v>1457</v>
      </c>
      <c r="J12" s="9" t="s">
        <v>1458</v>
      </c>
    </row>
    <row r="13" spans="1:10" ht="27.9" customHeight="1" x14ac:dyDescent="0.3">
      <c r="A13" s="9" t="s">
        <v>1459</v>
      </c>
      <c r="B13" s="9" t="s">
        <v>1460</v>
      </c>
      <c r="C13" s="9" t="s">
        <v>1461</v>
      </c>
      <c r="D13" s="9" t="s">
        <v>1462</v>
      </c>
      <c r="E13" s="9" t="s">
        <v>1463</v>
      </c>
      <c r="F13" s="4" t="s">
        <v>1464</v>
      </c>
      <c r="G13" s="9" t="s">
        <v>1465</v>
      </c>
      <c r="H13" s="9" t="s">
        <v>1466</v>
      </c>
      <c r="I13" s="9" t="s">
        <v>1467</v>
      </c>
      <c r="J13" s="9" t="s">
        <v>1468</v>
      </c>
    </row>
    <row r="14" spans="1:10" ht="27.9" customHeight="1" x14ac:dyDescent="0.3">
      <c r="A14" s="9" t="s">
        <v>1469</v>
      </c>
      <c r="B14" s="9" t="s">
        <v>1470</v>
      </c>
      <c r="C14" s="9" t="s">
        <v>1471</v>
      </c>
      <c r="D14" s="9" t="s">
        <v>1472</v>
      </c>
      <c r="E14" s="9" t="s">
        <v>1473</v>
      </c>
      <c r="F14" s="5" t="s">
        <v>1474</v>
      </c>
      <c r="G14" s="9" t="s">
        <v>350</v>
      </c>
      <c r="H14" s="9" t="s">
        <v>52</v>
      </c>
      <c r="I14" s="9" t="s">
        <v>1475</v>
      </c>
      <c r="J14" s="9" t="s">
        <v>1476</v>
      </c>
    </row>
    <row r="15" spans="1:10" ht="27.9" customHeight="1" x14ac:dyDescent="0.3">
      <c r="A15" s="9" t="s">
        <v>1477</v>
      </c>
      <c r="B15" s="9" t="s">
        <v>1478</v>
      </c>
      <c r="C15" s="9" t="s">
        <v>1479</v>
      </c>
      <c r="D15" s="9" t="s">
        <v>1480</v>
      </c>
      <c r="E15" s="9" t="s">
        <v>1481</v>
      </c>
      <c r="F15" s="11" t="s">
        <v>1482</v>
      </c>
      <c r="G15" s="9" t="s">
        <v>1483</v>
      </c>
      <c r="H15" s="9" t="s">
        <v>1484</v>
      </c>
      <c r="I15" s="9" t="s">
        <v>1485</v>
      </c>
      <c r="J15" s="9" t="s">
        <v>1486</v>
      </c>
    </row>
    <row r="16" spans="1:10" ht="27.9" customHeight="1" x14ac:dyDescent="0.3">
      <c r="A16" s="9" t="s">
        <v>1487</v>
      </c>
      <c r="B16" s="9" t="s">
        <v>1488</v>
      </c>
      <c r="C16" s="9" t="s">
        <v>1489</v>
      </c>
      <c r="D16" s="9" t="s">
        <v>1490</v>
      </c>
      <c r="E16" s="9" t="s">
        <v>1491</v>
      </c>
      <c r="F16" s="4" t="s">
        <v>1492</v>
      </c>
      <c r="G16" s="9" t="s">
        <v>1493</v>
      </c>
      <c r="H16" s="9" t="s">
        <v>1438</v>
      </c>
      <c r="I16" s="9" t="s">
        <v>1494</v>
      </c>
      <c r="J16" s="9" t="s">
        <v>1495</v>
      </c>
    </row>
    <row r="17" spans="1:10" ht="45" customHeight="1" x14ac:dyDescent="0.3">
      <c r="A17" s="9" t="s">
        <v>1496</v>
      </c>
      <c r="B17" s="9" t="s">
        <v>1497</v>
      </c>
      <c r="C17" s="9" t="s">
        <v>1498</v>
      </c>
      <c r="D17" s="9" t="s">
        <v>1499</v>
      </c>
      <c r="E17" s="9" t="s">
        <v>1500</v>
      </c>
      <c r="F17" s="11" t="s">
        <v>1501</v>
      </c>
      <c r="G17" s="9" t="s">
        <v>1502</v>
      </c>
      <c r="H17" s="9" t="s">
        <v>1503</v>
      </c>
      <c r="I17" s="9" t="s">
        <v>1504</v>
      </c>
      <c r="J17" s="9" t="s">
        <v>1505</v>
      </c>
    </row>
    <row r="18" spans="1:10" ht="30" customHeight="1" x14ac:dyDescent="0.3">
      <c r="A18" s="9" t="s">
        <v>1506</v>
      </c>
      <c r="B18" s="9" t="s">
        <v>1507</v>
      </c>
      <c r="C18" s="9" t="s">
        <v>1508</v>
      </c>
      <c r="D18" s="9" t="s">
        <v>1509</v>
      </c>
      <c r="E18" s="9" t="s">
        <v>1510</v>
      </c>
      <c r="F18" s="11" t="s">
        <v>1511</v>
      </c>
      <c r="G18" s="9" t="s">
        <v>1512</v>
      </c>
      <c r="H18" s="9" t="s">
        <v>1513</v>
      </c>
      <c r="I18" s="9" t="s">
        <v>1514</v>
      </c>
      <c r="J18" s="9" t="s">
        <v>1515</v>
      </c>
    </row>
  </sheetData>
  <autoFilter ref="A1:J16" xr:uid="{00000000-0009-0000-0000-00000A000000}"/>
  <mergeCells count="1">
    <mergeCell ref="A1:J1"/>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2"/>
  <sheetViews>
    <sheetView showGridLines="0" workbookViewId="0">
      <pane ySplit="4" topLeftCell="A5" activePane="bottomLeft" state="frozen"/>
      <selection pane="bottomLeft" activeCell="D20" sqref="D20"/>
    </sheetView>
  </sheetViews>
  <sheetFormatPr baseColWidth="10" defaultColWidth="9.109375" defaultRowHeight="14.4" x14ac:dyDescent="0.3"/>
  <cols>
    <col min="1" max="1" width="16" customWidth="1"/>
    <col min="2" max="2" width="42" customWidth="1"/>
    <col min="3" max="3" width="54" customWidth="1"/>
    <col min="4" max="4" width="50" customWidth="1"/>
  </cols>
  <sheetData>
    <row r="1" spans="1:4" ht="32.1" customHeight="1" x14ac:dyDescent="0.35">
      <c r="A1" s="25" t="s">
        <v>1516</v>
      </c>
      <c r="B1" s="26"/>
      <c r="C1" s="26"/>
      <c r="D1" s="26"/>
    </row>
    <row r="2" spans="1:4" ht="32.1" customHeight="1" x14ac:dyDescent="0.3"/>
    <row r="3" spans="1:4" ht="32.1" customHeight="1" x14ac:dyDescent="0.3">
      <c r="A3" s="19" t="s">
        <v>1517</v>
      </c>
      <c r="B3" s="27" t="s">
        <v>1518</v>
      </c>
      <c r="C3" s="26"/>
      <c r="D3" s="26"/>
    </row>
    <row r="4" spans="1:4" ht="32.1" customHeight="1" x14ac:dyDescent="0.3"/>
    <row r="5" spans="1:4" ht="32.1" customHeight="1" x14ac:dyDescent="0.3">
      <c r="A5" s="13" t="s">
        <v>1519</v>
      </c>
      <c r="B5" s="13" t="s">
        <v>1520</v>
      </c>
      <c r="C5" s="13" t="s">
        <v>1521</v>
      </c>
      <c r="D5" s="13" t="s">
        <v>1522</v>
      </c>
    </row>
    <row r="6" spans="1:4" ht="32.1" customHeight="1" x14ac:dyDescent="0.3">
      <c r="A6" s="4"/>
      <c r="B6" s="12" t="s">
        <v>1523</v>
      </c>
      <c r="C6" s="14" t="s">
        <v>1524</v>
      </c>
      <c r="D6" s="14" t="s">
        <v>1525</v>
      </c>
    </row>
    <row r="7" spans="1:4" ht="32.1" customHeight="1" x14ac:dyDescent="0.3">
      <c r="A7" s="11"/>
      <c r="B7" s="12" t="s">
        <v>1526</v>
      </c>
      <c r="C7" s="14" t="s">
        <v>1527</v>
      </c>
      <c r="D7" s="14" t="s">
        <v>1528</v>
      </c>
    </row>
    <row r="8" spans="1:4" ht="32.1" customHeight="1" x14ac:dyDescent="0.3">
      <c r="A8" s="5"/>
      <c r="B8" s="12" t="s">
        <v>1529</v>
      </c>
      <c r="C8" s="14" t="s">
        <v>1530</v>
      </c>
      <c r="D8" s="14" t="s">
        <v>1531</v>
      </c>
    </row>
    <row r="9" spans="1:4" ht="32.1" customHeight="1" x14ac:dyDescent="0.3">
      <c r="A9" s="10"/>
      <c r="B9" s="12" t="s">
        <v>1532</v>
      </c>
      <c r="C9" s="14" t="s">
        <v>1533</v>
      </c>
      <c r="D9" s="14" t="s">
        <v>1534</v>
      </c>
    </row>
    <row r="10" spans="1:4" ht="32.1" customHeight="1" x14ac:dyDescent="0.3"/>
    <row r="11" spans="1:4" ht="32.1" customHeight="1" x14ac:dyDescent="0.3"/>
    <row r="12" spans="1:4" ht="32.1" customHeight="1" x14ac:dyDescent="0.3"/>
  </sheetData>
  <mergeCells count="2">
    <mergeCell ref="A1:D1"/>
    <mergeCell ref="B3:D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00_Resumen</vt:lpstr>
      <vt:lpstr>01_Casos_Uso_A52</vt:lpstr>
      <vt:lpstr>02_Flujos_INESData</vt:lpstr>
      <vt:lpstr>03_INESData_UI</vt:lpstr>
      <vt:lpstr>04_OntologyHub_PT5</vt:lpstr>
      <vt:lpstr>05_OntologyHub_UI</vt:lpstr>
      <vt:lpstr>06_AI_Model_Hub</vt:lpstr>
      <vt:lpstr>07_Virtualización</vt:lpstr>
      <vt:lpstr>08_Evidencias</vt:lpstr>
      <vt:lpstr>09_Trazabilidad_OH</vt:lpstr>
      <vt:lpstr>10_Estado_Cobertura</vt:lpstr>
      <vt:lpstr>11_Leyenda_Colores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E5.2 - Resultados de validacion de componentes e integracion</dc:title>
  <dc:subject>A5.2 / E5.2</dc:subject>
  <dc:creator>Validation Environment</dc:creator>
  <dc:description>Reporte de casos de prueba funcionales e integracion automatizados.</dc:description>
  <cp:lastModifiedBy>ADRIAN VARGAS RANGEL</cp:lastModifiedBy>
  <dcterms:created xsi:type="dcterms:W3CDTF">2026-05-08T05:10:37Z</dcterms:created>
  <dcterms:modified xsi:type="dcterms:W3CDTF">2026-05-21T10:13:08Z</dcterms:modified>
</cp:coreProperties>
</file>